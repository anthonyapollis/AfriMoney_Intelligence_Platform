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Corridor Analysis" sheetId="2" state="visible" r:id="rId2"/>
    <sheet xmlns:r="http://schemas.openxmlformats.org/officeDocument/2006/relationships" name="ML Model Results" sheetId="3" state="visible" r:id="rId3"/>
    <sheet xmlns:r="http://schemas.openxmlformats.org/officeDocument/2006/relationships" name="Customer 360" sheetId="4" state="visible" r:id="rId4"/>
    <sheet xmlns:r="http://schemas.openxmlformats.org/officeDocument/2006/relationships" name="FX &amp; Profitability" sheetId="5" state="visible" r:id="rId5"/>
    <sheet xmlns:r="http://schemas.openxmlformats.org/officeDocument/2006/relationships" name="Risk &amp; Compliance" sheetId="6" state="visible" r:id="rId6"/>
    <sheet xmlns:r="http://schemas.openxmlformats.org/officeDocument/2006/relationships" name="Reconciliation" sheetId="7" state="visible" r:id="rId7"/>
    <sheet xmlns:r="http://schemas.openxmlformats.org/officeDocument/2006/relationships" name="AfriMoney Lending" sheetId="8" state="visible" r:id="rId8"/>
    <sheet xmlns:r="http://schemas.openxmlformats.org/officeDocument/2006/relationships" name="Wallet &amp; Card" sheetId="9" state="visible" r:id="rId9"/>
    <sheet xmlns:r="http://schemas.openxmlformats.org/officeDocument/2006/relationships" name="Data Model" sheetId="10" state="visible" r:id="rId10"/>
    <sheet xmlns:r="http://schemas.openxmlformats.org/officeDocument/2006/relationships" name="Abou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41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i val="1"/>
      <color rgb="00AAAAAA"/>
      <sz val="10"/>
    </font>
    <font>
      <name val="Segoe UI"/>
      <b val="1"/>
      <color rgb="0000C97A"/>
      <sz val="9"/>
    </font>
    <font>
      <name val="Segoe UI"/>
      <b val="1"/>
      <color rgb="0000C97A"/>
      <sz val="20"/>
    </font>
    <font>
      <name val="Segoe UI"/>
      <b val="1"/>
      <color rgb="00F5A623"/>
      <sz val="9"/>
    </font>
    <font>
      <name val="Segoe UI"/>
      <b val="1"/>
      <color rgb="00F5A623"/>
      <sz val="20"/>
    </font>
    <font>
      <name val="Segoe UI"/>
      <b val="1"/>
      <color rgb="004ECDC4"/>
      <sz val="9"/>
    </font>
    <font>
      <name val="Segoe UI"/>
      <b val="1"/>
      <color rgb="004ECDC4"/>
      <sz val="20"/>
    </font>
    <font>
      <name val="Segoe UI"/>
      <b val="1"/>
      <color rgb="00A569BD"/>
      <sz val="9"/>
    </font>
    <font>
      <name val="Segoe UI"/>
      <b val="1"/>
      <color rgb="00A569BD"/>
      <sz val="20"/>
    </font>
    <font>
      <name val="Segoe UI"/>
      <b val="1"/>
      <color rgb="00FF6B6B"/>
      <sz val="9"/>
    </font>
    <font>
      <name val="Segoe UI"/>
      <b val="1"/>
      <color rgb="00FF6B6B"/>
      <sz val="20"/>
    </font>
    <font>
      <name val="Segoe UI"/>
      <b val="1"/>
      <color rgb="000D2137"/>
      <sz val="12"/>
    </font>
    <font>
      <name val="Segoe UI"/>
      <b val="1"/>
      <color rgb="00FFFFFF"/>
      <sz val="11"/>
    </font>
    <font>
      <name val="Segoe UI"/>
      <color rgb="001A2332"/>
      <sz val="10"/>
    </font>
    <font>
      <name val="Segoe UI"/>
      <b val="1"/>
      <color rgb="0000C97A"/>
      <sz val="10"/>
    </font>
    <font>
      <name val="Segoe UI"/>
      <b val="1"/>
      <color rgb="00FF6B6B"/>
      <sz val="10"/>
    </font>
    <font>
      <name val="Segoe UI"/>
      <b val="1"/>
      <color rgb="00FFFFFF"/>
      <sz val="16"/>
    </font>
    <font>
      <name val="Segoe UI"/>
      <b val="1"/>
      <color rgb="00F5A623"/>
      <sz val="10"/>
    </font>
    <font>
      <name val="Segoe UI"/>
      <b val="1"/>
      <color rgb="004ECDC4"/>
      <sz val="10"/>
    </font>
    <font>
      <name val="Segoe UI"/>
      <b val="1"/>
      <color rgb="0000C97A"/>
      <sz val="12"/>
    </font>
    <font>
      <name val="Segoe UI"/>
      <b val="1"/>
      <color rgb="004ECDC4"/>
      <sz val="12"/>
    </font>
    <font>
      <name val="Segoe UI"/>
      <b val="1"/>
      <color rgb="00F5A623"/>
      <sz val="12"/>
    </font>
    <font>
      <name val="Segoe UI"/>
      <b val="1"/>
      <color rgb="0000C97A"/>
      <sz val="11"/>
    </font>
    <font>
      <name val="Segoe UI"/>
      <b val="1"/>
      <color rgb="000D2137"/>
      <sz val="10"/>
    </font>
    <font>
      <name val="Segoe UI"/>
      <b val="1"/>
      <color rgb="004ECDC4"/>
      <sz val="11"/>
    </font>
    <font>
      <name val="Segoe UI"/>
      <b val="1"/>
      <color rgb="00F5A623"/>
      <sz val="11"/>
    </font>
    <font>
      <name val="Segoe UI"/>
      <b val="1"/>
      <color rgb="00FFD700"/>
      <sz val="11"/>
    </font>
    <font>
      <name val="Segoe UI"/>
      <b val="1"/>
      <color rgb="00A569BD"/>
      <sz val="11"/>
    </font>
    <font>
      <name val="Segoe UI"/>
      <b val="1"/>
      <color rgb="00BDC3C7"/>
      <sz val="11"/>
    </font>
    <font>
      <name val="Segoe UI"/>
      <b val="1"/>
      <color rgb="000D2137"/>
      <sz val="11"/>
    </font>
    <font>
      <name val="Segoe UI"/>
      <i val="1"/>
      <color rgb="00AAAAAA"/>
      <sz val="9"/>
    </font>
    <font>
      <name val="Segoe UI"/>
      <b val="1"/>
      <color rgb="00FF6B6B"/>
      <sz val="16"/>
    </font>
    <font>
      <name val="Segoe UI"/>
      <b val="1"/>
      <color rgb="0000C97A"/>
      <sz val="16"/>
    </font>
    <font>
      <name val="Segoe UI"/>
      <b val="1"/>
      <color rgb="00F5A623"/>
      <sz val="16"/>
    </font>
    <font>
      <name val="Segoe UI"/>
      <b val="1"/>
      <color rgb="004ECDC4"/>
      <sz val="16"/>
    </font>
    <font>
      <name val="Segoe UI"/>
      <b val="1"/>
      <color rgb="001A2332"/>
      <sz val="10"/>
    </font>
    <font>
      <name val="Segoe UI"/>
      <b val="1"/>
      <color rgb="00A569BD"/>
      <sz val="10"/>
    </font>
    <font>
      <name val="Segoe UI"/>
      <b val="1"/>
      <color rgb="00FFFFFF"/>
      <sz val="22"/>
    </font>
    <font>
      <name val="Segoe UI"/>
      <color rgb="001A2332"/>
      <sz val="11"/>
    </font>
  </fonts>
  <fills count="12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F8FAFB"/>
      </patternFill>
    </fill>
    <fill>
      <patternFill patternType="solid">
        <fgColor rgb="00F4F6F8"/>
      </patternFill>
    </fill>
    <fill>
      <patternFill patternType="solid">
        <fgColor rgb="00FFFFFF"/>
      </patternFill>
    </fill>
    <fill>
      <patternFill patternType="solid">
        <fgColor rgb="006C3483"/>
      </patternFill>
    </fill>
    <fill>
      <patternFill patternType="solid">
        <fgColor rgb="00DDE1E7"/>
      </patternFill>
    </fill>
    <fill>
      <patternFill patternType="solid">
        <fgColor rgb="001A9E98"/>
      </patternFill>
    </fill>
    <fill>
      <patternFill patternType="solid">
        <fgColor rgb="00D4890A"/>
      </patternFill>
    </fill>
    <fill>
      <patternFill patternType="solid">
        <fgColor rgb="00C0392B"/>
      </patternFill>
    </fill>
    <fill>
      <patternFill patternType="solid">
        <fgColor rgb="000A3D2E"/>
      </patternFill>
    </fill>
  </fills>
  <borders count="6">
    <border>
      <left/>
      <right/>
      <top/>
      <bottom/>
      <diagonal/>
    </border>
    <border>
      <left style="thin">
        <color rgb="00DDE1E7"/>
      </left>
      <right style="thin">
        <color rgb="00DDE1E7"/>
      </right>
      <top style="thin">
        <color rgb="00DDE1E7"/>
      </top>
      <bottom style="thin">
        <color rgb="00DDE1E7"/>
      </bottom>
    </border>
    <border>
      <left/>
      <right/>
      <top style="thin">
        <color rgb="00DDE1E7"/>
      </top>
      <bottom/>
      <diagonal/>
    </border>
    <border>
      <left/>
      <right style="thin">
        <color rgb="00DDE1E7"/>
      </right>
      <top style="thin">
        <color rgb="00DDE1E7"/>
      </top>
      <bottom/>
      <diagonal/>
    </border>
    <border>
      <left/>
      <right/>
      <top style="thin">
        <color rgb="00DDE1E7"/>
      </top>
      <bottom style="thin">
        <color rgb="00DDE1E7"/>
      </bottom>
      <diagonal/>
    </border>
    <border>
      <left/>
      <right style="thin">
        <color rgb="00DDE1E7"/>
      </right>
      <top style="thin">
        <color rgb="00DDE1E7"/>
      </top>
      <bottom style="thin">
        <color rgb="00DDE1E7"/>
      </bottom>
      <diagonal/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13" fillId="4" borderId="0" pivotButton="0" quotePrefix="0" xfId="0"/>
    <xf numFmtId="0" fontId="14" fillId="2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0" fontId="18" fillId="2" borderId="0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  <xf numFmtId="0" fontId="18" fillId="6" borderId="0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22" fillId="5" borderId="1" applyAlignment="1" pivotButton="0" quotePrefix="0" xfId="0">
      <alignment horizontal="center" vertical="center" wrapText="1"/>
    </xf>
    <xf numFmtId="0" fontId="23" fillId="4" borderId="1" applyAlignment="1" pivotButton="0" quotePrefix="0" xfId="0">
      <alignment horizontal="center" vertical="center" wrapText="1"/>
    </xf>
    <xf numFmtId="0" fontId="24" fillId="4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5" fillId="7" borderId="0" pivotButton="0" quotePrefix="0" xfId="0"/>
    <xf numFmtId="0" fontId="15" fillId="4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18" fillId="8" borderId="0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28" fillId="4" borderId="1" applyAlignment="1" pivotButton="0" quotePrefix="0" xfId="0">
      <alignment horizontal="center" vertical="center" wrapText="1"/>
    </xf>
    <xf numFmtId="164" fontId="15" fillId="4" borderId="1" applyAlignment="1" pivotButton="0" quotePrefix="0" xfId="0">
      <alignment horizontal="center" vertical="center" wrapText="1"/>
    </xf>
    <xf numFmtId="0" fontId="27" fillId="5" borderId="1" applyAlignment="1" pivotButton="0" quotePrefix="0" xfId="0">
      <alignment horizontal="center" vertical="center" wrapText="1"/>
    </xf>
    <xf numFmtId="164" fontId="15" fillId="5" borderId="1" applyAlignment="1" pivotButton="0" quotePrefix="0" xfId="0">
      <alignment horizontal="center" vertical="center" wrapText="1"/>
    </xf>
    <xf numFmtId="0" fontId="29" fillId="4" borderId="1" applyAlignment="1" pivotButton="0" quotePrefix="0" xfId="0">
      <alignment horizontal="center" vertical="center" wrapText="1"/>
    </xf>
    <xf numFmtId="0" fontId="26" fillId="5" borderId="1" applyAlignment="1" pivotButton="0" quotePrefix="0" xfId="0">
      <alignment horizontal="center" vertical="center" wrapText="1"/>
    </xf>
    <xf numFmtId="0" fontId="30" fillId="4" borderId="1" applyAlignment="1" pivotButton="0" quotePrefix="0" xfId="0">
      <alignment horizontal="center" vertical="center" wrapText="1"/>
    </xf>
    <xf numFmtId="0" fontId="31" fillId="0" borderId="0" pivotButton="0" quotePrefix="0" xfId="0"/>
    <xf numFmtId="0" fontId="18" fillId="9" borderId="0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8" fillId="10" borderId="0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33" fillId="4" borderId="0" applyAlignment="1" pivotButton="0" quotePrefix="0" xfId="0">
      <alignment horizontal="center" vertical="center" wrapText="1"/>
    </xf>
    <xf numFmtId="0" fontId="34" fillId="4" borderId="0" applyAlignment="1" pivotButton="0" quotePrefix="0" xfId="0">
      <alignment horizontal="center" vertical="center" wrapText="1"/>
    </xf>
    <xf numFmtId="0" fontId="35" fillId="4" borderId="0" applyAlignment="1" pivotButton="0" quotePrefix="0" xfId="0">
      <alignment horizontal="center" vertical="center" wrapText="1"/>
    </xf>
    <xf numFmtId="0" fontId="31" fillId="4" borderId="0" pivotButton="0" quotePrefix="0" xfId="0"/>
    <xf numFmtId="0" fontId="17" fillId="4" borderId="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center" vertical="center" wrapText="1"/>
    </xf>
    <xf numFmtId="0" fontId="36" fillId="4" borderId="0" applyAlignment="1" pivotButton="0" quotePrefix="0" xfId="0">
      <alignment horizontal="center" vertical="center" wrapText="1"/>
    </xf>
    <xf numFmtId="0" fontId="18" fillId="11" borderId="0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37" fillId="4" borderId="1" applyAlignment="1" pivotButton="0" quotePrefix="0" xfId="0">
      <alignment horizontal="left" vertical="center" wrapText="1"/>
    </xf>
    <xf numFmtId="0" fontId="37" fillId="5" borderId="1" applyAlignment="1" pivotButton="0" quotePrefix="0" xfId="0">
      <alignment horizontal="left" vertical="center" wrapText="1"/>
    </xf>
    <xf numFmtId="0" fontId="38" fillId="4" borderId="1" applyAlignment="1" pivotButton="0" quotePrefix="0" xfId="0">
      <alignment horizontal="center" vertical="center" wrapText="1"/>
    </xf>
    <xf numFmtId="0" fontId="38" fillId="5" borderId="1" applyAlignment="1" pivotButton="0" quotePrefix="0" xfId="0">
      <alignment horizontal="center" vertical="center" wrapText="1"/>
    </xf>
    <xf numFmtId="0" fontId="39" fillId="2" borderId="0" applyAlignment="1" pivotButton="0" quotePrefix="0" xfId="0">
      <alignment horizontal="center" vertical="center" wrapText="1"/>
    </xf>
    <xf numFmtId="0" fontId="24" fillId="4" borderId="1" applyAlignment="1" pivotButton="0" quotePrefix="0" xfId="0">
      <alignment horizontal="left" vertical="center" wrapText="1"/>
    </xf>
    <xf numFmtId="0" fontId="40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Transfer Volume (R Billion)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Dashboard'!C10</f>
            </strRef>
          </tx>
          <spPr>
            <a:solidFill xmlns:a="http://schemas.openxmlformats.org/drawingml/2006/main">
              <a:srgbClr val="00C97A"/>
            </a:solidFill>
            <a:ln xmlns:a="http://schemas.openxmlformats.org/drawingml/2006/main">
              <a:prstDash val="solid"/>
            </a:ln>
          </spPr>
          <cat>
            <numRef>
              <f>'Executive Dashboard'!$B$11:$B$16</f>
            </numRef>
          </cat>
          <val>
            <numRef>
              <f>'Executive Dashboard'!$C$11:$C$16</f>
            </numRef>
          </val>
        </ser>
        <ser>
          <idx val="1"/>
          <order val="1"/>
          <tx>
            <strRef>
              <f>'Executive Dashboard'!D10</f>
            </strRef>
          </tx>
          <spPr>
            <a:solidFill xmlns:a="http://schemas.openxmlformats.org/drawingml/2006/main">
              <a:srgbClr val="F5A623"/>
            </a:solidFill>
            <a:ln xmlns:a="http://schemas.openxmlformats.org/drawingml/2006/main">
              <a:prstDash val="solid"/>
            </a:ln>
          </spPr>
          <cat>
            <numRef>
              <f>'Executive Dashboard'!$B$11:$B$16</f>
            </numRef>
          </cat>
          <val>
            <numRef>
              <f>'Executive Dashboard'!$D$11:$D$16</f>
            </numRef>
          </val>
        </ser>
        <ser>
          <idx val="2"/>
          <order val="2"/>
          <tx>
            <strRef>
              <f>'Executive Dashboard'!E10</f>
            </strRef>
          </tx>
          <spPr>
            <a:solidFill xmlns:a="http://schemas.openxmlformats.org/drawingml/2006/main">
              <a:srgbClr val="4ECDC4"/>
            </a:solidFill>
            <a:ln xmlns:a="http://schemas.openxmlformats.org/drawingml/2006/main">
              <a:prstDash val="solid"/>
            </a:ln>
          </spPr>
          <cat>
            <numRef>
              <f>'Executive Dashboard'!$B$11:$B$16</f>
            </numRef>
          </cat>
          <val>
            <numRef>
              <f>'Executive Dashboard'!$E$11:$E$16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 (R 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Transfer Success Rate &amp; Fraud (bps)</a:t>
            </a:r>
          </a:p>
        </rich>
      </tx>
    </title>
    <plotArea>
      <lineChart>
        <grouping val="standard"/>
        <ser>
          <idx val="0"/>
          <order val="0"/>
          <tx>
            <strRef>
              <f>'Executive Dashboard'!H10</f>
            </strRef>
          </tx>
          <spPr>
            <a:ln xmlns:a="http://schemas.openxmlformats.org/drawingml/2006/main" w="25000">
              <a:solidFill>
                <a:srgbClr val="00C97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 Dashboard'!$B$11:$B$16</f>
            </numRef>
          </cat>
          <val>
            <numRef>
              <f>'Executive Dashboard'!$H$11:$H$16</f>
            </numRef>
          </val>
        </ser>
        <ser>
          <idx val="1"/>
          <order val="1"/>
          <tx>
            <strRef>
              <f>'Executive Dashboard'!I10</f>
            </strRef>
          </tx>
          <spPr>
            <a:ln xmlns:a="http://schemas.openxmlformats.org/drawingml/2006/main" w="25000">
              <a:solidFill>
                <a:srgbClr val="FF6B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 Dashboard'!$B$11:$B$16</f>
            </numRef>
          </cat>
          <val>
            <numRef>
              <f>'Executive Dashboard'!$I$11:$I$16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Corridor Volume (R Billion) — colour = ML cluster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'Corridor Analysis'!F4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FF6B6B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F6B6B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F6B6B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FF6B6B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F5A623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F5A623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F5A623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F5A623"/>
              </a:solidFill>
              <a:ln xmlns:a="http://schemas.openxmlformats.org/drawingml/2006/main"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F5A623"/>
              </a:solidFill>
              <a:ln xmlns:a="http://schemas.openxmlformats.org/drawingml/2006/main"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4ECDC4"/>
              </a:solidFill>
              <a:ln xmlns:a="http://schemas.openxmlformats.org/drawingml/2006/main">
                <a:prstDash val="solid"/>
              </a:ln>
            </spPr>
          </dPt>
          <dPt>
            <idx val="10"/>
            <spPr>
              <a:solidFill xmlns:a="http://schemas.openxmlformats.org/drawingml/2006/main">
                <a:srgbClr val="4ECDC4"/>
              </a:solidFill>
              <a:ln xmlns:a="http://schemas.openxmlformats.org/drawingml/2006/main">
                <a:prstDash val="solid"/>
              </a:ln>
            </spPr>
          </dPt>
          <dPt>
            <idx val="11"/>
            <spPr>
              <a:solidFill xmlns:a="http://schemas.openxmlformats.org/drawingml/2006/main">
                <a:srgbClr val="4ECDC4"/>
              </a:solidFill>
              <a:ln xmlns:a="http://schemas.openxmlformats.org/drawingml/2006/main">
                <a:prstDash val="solid"/>
              </a:ln>
            </spPr>
          </dPt>
          <dPt>
            <idx val="12"/>
            <spPr>
              <a:solidFill xmlns:a="http://schemas.openxmlformats.org/drawingml/2006/main">
                <a:srgbClr val="4ECDC4"/>
              </a:solidFill>
              <a:ln xmlns:a="http://schemas.openxmlformats.org/drawingml/2006/main">
                <a:prstDash val="solid"/>
              </a:ln>
            </spPr>
          </dPt>
          <dPt>
            <idx val="13"/>
            <spPr>
              <a:solidFill xmlns:a="http://schemas.openxmlformats.org/drawingml/2006/main">
                <a:srgbClr val="4ECDC4"/>
              </a:solidFill>
              <a:ln xmlns:a="http://schemas.openxmlformats.org/drawingml/2006/main">
                <a:prstDash val="solid"/>
              </a:ln>
            </spPr>
          </dPt>
          <dPt>
            <idx val="14"/>
            <spPr>
              <a:solidFill xmlns:a="http://schemas.openxmlformats.org/drawingml/2006/main">
                <a:srgbClr val="00C97A"/>
              </a:solidFill>
              <a:ln xmlns:a="http://schemas.openxmlformats.org/drawingml/2006/main">
                <a:prstDash val="solid"/>
              </a:ln>
            </spPr>
          </dPt>
          <dPt>
            <idx val="15"/>
            <spPr>
              <a:solidFill xmlns:a="http://schemas.openxmlformats.org/drawingml/2006/main">
                <a:srgbClr val="00C97A"/>
              </a:solidFill>
              <a:ln xmlns:a="http://schemas.openxmlformats.org/drawingml/2006/main">
                <a:prstDash val="solid"/>
              </a:ln>
            </spPr>
          </dPt>
          <dPt>
            <idx val="16"/>
            <spPr>
              <a:solidFill xmlns:a="http://schemas.openxmlformats.org/drawingml/2006/main">
                <a:srgbClr val="00C97A"/>
              </a:solidFill>
              <a:ln xmlns:a="http://schemas.openxmlformats.org/drawingml/2006/main">
                <a:prstDash val="solid"/>
              </a:ln>
            </spPr>
          </dPt>
          <cat>
            <numRef>
              <f>'Corridor Analysis'!$C$5:$C$21</f>
            </numRef>
          </cat>
          <val>
            <numRef>
              <f>'Corridor Analysis'!$F$5:$F$21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Fraud Detection — Feature Importance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'ML Model Results'!C11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FF6B6B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F8E8E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FB3B3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F5A623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FFD700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00C97A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4ECDC4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A569BD"/>
              </a:solidFill>
              <a:ln xmlns:a="http://schemas.openxmlformats.org/drawingml/2006/main">
                <a:prstDash val="solid"/>
              </a:ln>
            </spPr>
          </dPt>
          <cat>
            <numRef>
              <f>'ML Model Results'!$B$12:$B$19</f>
            </numRef>
          </cat>
          <val>
            <numRef>
              <f>'ML Model Results'!$C$12:$C$19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Customer Churn — Feature Importance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'ML Model Results'!G11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ECDC4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00C97A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5A623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A569BD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FF6B6B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1ABC9C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cat>
            <numRef>
              <f>'ML Model Results'!$F$12:$F$19</f>
            </numRef>
          </cat>
          <val>
            <numRef>
              <f>'ML Model Results'!$G$12:$G$19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Credit Risk PD — Feature Importance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'ML Model Results'!K11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F5A623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F6B6B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00C97A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A569BD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4ECDC4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E74C3C"/>
              </a:solidFill>
              <a:ln xmlns:a="http://schemas.openxmlformats.org/drawingml/2006/main">
                <a:prstDash val="solid"/>
              </a:ln>
            </spPr>
          </dPt>
          <cat>
            <numRef>
              <f>'ML Model Results'!$J$12:$J$18</f>
            </numRef>
          </cat>
          <val>
            <numRef>
              <f>'ML Model Results'!$K$12:$K$18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Customer Distribution by LTV Band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FFD70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5A623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A569BD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4ECDC4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BDC3C7"/>
              </a:solidFill>
              <a:ln xmlns:a="http://schemas.openxmlformats.org/drawingml/2006/main">
                <a:prstDash val="solid"/>
              </a:ln>
            </spPr>
          </dPt>
          <cat>
            <numRef>
              <f>'Customer 360'!$B$5:$B$9</f>
            </numRef>
          </cat>
          <val>
            <numRef>
              <f>'Customer 360'!$F$5:$F$9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17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17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23</row>
      <rowOff>0</rowOff>
    </from>
    <ext cx="72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21</row>
      <rowOff>0</rowOff>
    </from>
    <ext cx="50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21</row>
      <rowOff>0</rowOff>
    </from>
    <ext cx="504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21</row>
      <rowOff>0</rowOff>
    </from>
    <ext cx="504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11</row>
      <rowOff>0</rowOff>
    </from>
    <ext cx="50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tabColor rgb="0000C97A"/>
    <outlinePr summaryBelow="1" summaryRight="1"/>
    <pageSetUpPr/>
  </sheetPr>
  <dimension ref="B1:Q16"/>
  <sheetViews>
    <sheetView showGridLines="0" workbookViewId="0">
      <selection activeCell="A1" sqref="A1"/>
    </sheetView>
  </sheetViews>
  <sheetFormatPr baseColWidth="8" defaultRowHeight="15"/>
  <cols>
    <col width="2" customWidth="1" min="1" max="1"/>
  </cols>
  <sheetData>
    <row r="1" ht="20" customHeight="1">
      <c r="B1" s="1" t="inlineStr">
        <is>
          <t>AfriMoney Intelligence Platform — Executive Dashboard</t>
        </is>
      </c>
    </row>
    <row r="2" ht="20" customHeight="1"/>
    <row r="3" ht="18" customHeight="1">
      <c r="B3" s="2" t="inlineStr">
        <is>
          <t>Snowflake · dbt · Snowpark ML  |  Reporting Period: 2025–2026  |  Generated: 2026-08-19</t>
        </is>
      </c>
    </row>
    <row r="5" ht="14" customHeight="1">
      <c r="B5" s="3" t="inlineStr">
        <is>
          <t>Annual Volume</t>
        </is>
      </c>
      <c r="D5" s="4" t="inlineStr">
        <is>
          <t>Transfer Orders</t>
        </is>
      </c>
      <c r="F5" s="5" t="inlineStr">
        <is>
          <t>Active Corridors</t>
        </is>
      </c>
      <c r="H5" s="6" t="inlineStr">
        <is>
          <t>Customers</t>
        </is>
      </c>
      <c r="J5" s="3" t="inlineStr">
        <is>
          <t>Success Rate</t>
        </is>
      </c>
      <c r="L5" s="7" t="inlineStr">
        <is>
          <t>Fraud Rate</t>
        </is>
      </c>
      <c r="N5" s="4" t="inlineStr">
        <is>
          <t>KYC Completion</t>
        </is>
      </c>
      <c r="P5" s="5" t="inlineStr">
        <is>
          <t>Net Revenue</t>
        </is>
      </c>
    </row>
    <row r="6" ht="36" customHeight="1">
      <c r="B6" s="8" t="inlineStr">
        <is>
          <t>R 78B</t>
        </is>
      </c>
      <c r="D6" s="9" t="inlineStr">
        <is>
          <t>5M+</t>
        </is>
      </c>
      <c r="F6" s="10" t="inlineStr">
        <is>
          <t>17</t>
        </is>
      </c>
      <c r="H6" s="11" t="inlineStr">
        <is>
          <t>500K</t>
        </is>
      </c>
      <c r="J6" s="8" t="inlineStr">
        <is>
          <t>77.6%</t>
        </is>
      </c>
      <c r="L6" s="12" t="inlineStr">
        <is>
          <t>3.2 bps</t>
        </is>
      </c>
      <c r="N6" s="9" t="inlineStr">
        <is>
          <t>82%</t>
        </is>
      </c>
      <c r="P6" s="10" t="inlineStr">
        <is>
          <t>R 18B</t>
        </is>
      </c>
    </row>
    <row r="7" ht="10" customHeight="1">
      <c r="B7" s="13" t="n"/>
      <c r="D7" s="13" t="n"/>
      <c r="F7" s="13" t="n"/>
      <c r="H7" s="13" t="n"/>
      <c r="J7" s="13" t="n"/>
      <c r="L7" s="13" t="n"/>
      <c r="N7" s="13" t="n"/>
      <c r="P7" s="13" t="n"/>
    </row>
    <row r="9" ht="16" customHeight="1">
      <c r="B9" s="14" t="inlineStr">
        <is>
          <t>Monthly Trend Data</t>
        </is>
      </c>
    </row>
    <row r="10" ht="32" customHeight="1">
      <c r="B10" s="15" t="inlineStr">
        <is>
          <t>Month</t>
        </is>
      </c>
      <c r="C10" s="15" t="inlineStr">
        <is>
          <t>MKR Vol (R B)</t>
        </is>
      </c>
      <c r="D10" s="15" t="inlineStr">
        <is>
          <t>MMY Vol (R B)</t>
        </is>
      </c>
      <c r="E10" s="15" t="inlineStr">
        <is>
          <t>Total Vol (R B)</t>
        </is>
      </c>
      <c r="F10" s="15" t="inlineStr">
        <is>
          <t>MKR Rev (R B)</t>
        </is>
      </c>
      <c r="G10" s="15" t="inlineStr">
        <is>
          <t>MMY Rev (R B)</t>
        </is>
      </c>
      <c r="H10" s="15" t="inlineStr">
        <is>
          <t>Success Rate %</t>
        </is>
      </c>
      <c r="I10" s="15" t="inlineStr">
        <is>
          <t>Fraud Rate bps</t>
        </is>
      </c>
    </row>
    <row r="11" ht="20" customHeight="1">
      <c r="B11" s="16" t="inlineStr">
        <is>
          <t>Jan-26</t>
        </is>
      </c>
      <c r="C11" s="16" t="n">
        <v>8.199999999999999</v>
      </c>
      <c r="D11" s="16" t="n">
        <v>4.1</v>
      </c>
      <c r="E11" s="16" t="n">
        <v>12.3</v>
      </c>
      <c r="F11" s="16" t="n">
        <v>1.89</v>
      </c>
      <c r="G11" s="16" t="n">
        <v>0.82</v>
      </c>
      <c r="H11" s="17" t="n">
        <v>76.09999999999999</v>
      </c>
      <c r="I11" s="18" t="n">
        <v>4.1</v>
      </c>
    </row>
    <row r="12" ht="20" customHeight="1">
      <c r="B12" s="19" t="inlineStr">
        <is>
          <t>Feb-26</t>
        </is>
      </c>
      <c r="C12" s="19" t="n">
        <v>8.9</v>
      </c>
      <c r="D12" s="19" t="n">
        <v>4.5</v>
      </c>
      <c r="E12" s="19" t="n">
        <v>13.4</v>
      </c>
      <c r="F12" s="19" t="n">
        <v>2.05</v>
      </c>
      <c r="G12" s="19" t="n">
        <v>0.9</v>
      </c>
      <c r="H12" s="20" t="n">
        <v>76.8</v>
      </c>
      <c r="I12" s="21" t="n">
        <v>3.8</v>
      </c>
    </row>
    <row r="13" ht="20" customHeight="1">
      <c r="B13" s="16" t="inlineStr">
        <is>
          <t>Mar-26</t>
        </is>
      </c>
      <c r="C13" s="16" t="n">
        <v>9.4</v>
      </c>
      <c r="D13" s="16" t="n">
        <v>4.8</v>
      </c>
      <c r="E13" s="16" t="n">
        <v>14.2</v>
      </c>
      <c r="F13" s="16" t="n">
        <v>2.16</v>
      </c>
      <c r="G13" s="16" t="n">
        <v>0.96</v>
      </c>
      <c r="H13" s="17" t="n">
        <v>77.40000000000001</v>
      </c>
      <c r="I13" s="18" t="n">
        <v>3.5</v>
      </c>
    </row>
    <row r="14" ht="20" customHeight="1">
      <c r="B14" s="19" t="inlineStr">
        <is>
          <t>Apr-26</t>
        </is>
      </c>
      <c r="C14" s="19" t="n">
        <v>10.1</v>
      </c>
      <c r="D14" s="19" t="n">
        <v>5.2</v>
      </c>
      <c r="E14" s="19" t="n">
        <v>15.3</v>
      </c>
      <c r="F14" s="19" t="n">
        <v>2.32</v>
      </c>
      <c r="G14" s="19" t="n">
        <v>1.04</v>
      </c>
      <c r="H14" s="20" t="n">
        <v>78</v>
      </c>
      <c r="I14" s="21" t="n">
        <v>3.2</v>
      </c>
    </row>
    <row r="15" ht="20" customHeight="1">
      <c r="B15" s="16" t="inlineStr">
        <is>
          <t>May-26</t>
        </is>
      </c>
      <c r="C15" s="16" t="n">
        <v>10.8</v>
      </c>
      <c r="D15" s="16" t="n">
        <v>5.6</v>
      </c>
      <c r="E15" s="16" t="n">
        <v>16.4</v>
      </c>
      <c r="F15" s="16" t="n">
        <v>2.48</v>
      </c>
      <c r="G15" s="16" t="n">
        <v>1.12</v>
      </c>
      <c r="H15" s="17" t="n">
        <v>78.59999999999999</v>
      </c>
      <c r="I15" s="18" t="n">
        <v>3</v>
      </c>
    </row>
    <row r="16" ht="20" customHeight="1">
      <c r="B16" s="19" t="inlineStr">
        <is>
          <t>Jun-26</t>
        </is>
      </c>
      <c r="C16" s="19" t="n">
        <v>11.4</v>
      </c>
      <c r="D16" s="19" t="n">
        <v>5.9</v>
      </c>
      <c r="E16" s="19" t="n">
        <v>17.3</v>
      </c>
      <c r="F16" s="19" t="n">
        <v>2.62</v>
      </c>
      <c r="G16" s="19" t="n">
        <v>1.18</v>
      </c>
      <c r="H16" s="20" t="n">
        <v>79.2</v>
      </c>
      <c r="I16" s="21" t="n">
        <v>2.8</v>
      </c>
    </row>
  </sheetData>
  <mergeCells count="26">
    <mergeCell ref="L7:M7"/>
    <mergeCell ref="B7:C7"/>
    <mergeCell ref="J5:K5"/>
    <mergeCell ref="N7:O7"/>
    <mergeCell ref="F6:G6"/>
    <mergeCell ref="F7:G7"/>
    <mergeCell ref="D6:E6"/>
    <mergeCell ref="H6:I6"/>
    <mergeCell ref="J6:K6"/>
    <mergeCell ref="P6:Q6"/>
    <mergeCell ref="F5:G5"/>
    <mergeCell ref="L5:M5"/>
    <mergeCell ref="N5:O5"/>
    <mergeCell ref="B3:N3"/>
    <mergeCell ref="B1:N2"/>
    <mergeCell ref="D7:E7"/>
    <mergeCell ref="P7:Q7"/>
    <mergeCell ref="H7:I7"/>
    <mergeCell ref="J7:K7"/>
    <mergeCell ref="B6:C6"/>
    <mergeCell ref="L6:M6"/>
    <mergeCell ref="B5:C5"/>
    <mergeCell ref="N6:O6"/>
    <mergeCell ref="D5:E5"/>
    <mergeCell ref="H5:I5"/>
    <mergeCell ref="P5:Q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F5A623"/>
    <outlinePr summaryBelow="1" summaryRight="1"/>
    <pageSetUpPr/>
  </sheetPr>
  <dimension ref="B1:L21"/>
  <sheetViews>
    <sheetView showGridLines="0" workbookViewId="0">
      <selection activeCell="A1" sqref="A1"/>
    </sheetView>
  </sheetViews>
  <sheetFormatPr baseColWidth="8" defaultRowHeight="15"/>
  <cols>
    <col width="2" customWidth="1" min="1" max="1"/>
  </cols>
  <sheetData>
    <row r="1" ht="22" customHeight="1">
      <c r="B1" s="22" t="inlineStr">
        <is>
          <t>Corridor Performance Analysis — All 17 Routes</t>
        </is>
      </c>
    </row>
    <row r="2" ht="22" customHeight="1"/>
    <row r="4" ht="32" customHeight="1">
      <c r="B4" s="15" t="inlineStr">
        <is>
          <t>Corridor</t>
        </is>
      </c>
      <c r="C4" s="15" t="inlineStr">
        <is>
          <t>Country</t>
        </is>
      </c>
      <c r="D4" s="15" t="inlineStr">
        <is>
          <t>ML Cluster</t>
        </is>
      </c>
      <c r="E4" s="15" t="inlineStr">
        <is>
          <t>Business</t>
        </is>
      </c>
      <c r="F4" s="15" t="inlineStr">
        <is>
          <t>Vol (R B)</t>
        </is>
      </c>
      <c r="G4" s="15" t="inlineStr">
        <is>
          <t>Transfers</t>
        </is>
      </c>
      <c r="H4" s="15" t="inlineStr">
        <is>
          <t>Fraud bps</t>
        </is>
      </c>
      <c r="I4" s="15" t="inlineStr">
        <is>
          <t>Success %</t>
        </is>
      </c>
      <c r="J4" s="15" t="inlineStr">
        <is>
          <t>FX Spread %</t>
        </is>
      </c>
      <c r="K4" s="15" t="inlineStr">
        <is>
          <t>Avg Send R</t>
        </is>
      </c>
    </row>
    <row r="5" ht="20" customHeight="1">
      <c r="B5" s="16" t="inlineStr">
        <is>
          <t>ZA-ZW</t>
        </is>
      </c>
      <c r="C5" s="16" t="inlineStr">
        <is>
          <t>Zimbabwe</t>
        </is>
      </c>
      <c r="D5" s="18" t="inlineStr">
        <is>
          <t>High-Volume Core</t>
        </is>
      </c>
      <c r="E5" s="16" t="inlineStr">
        <is>
          <t>MKR+MMY</t>
        </is>
      </c>
      <c r="F5" s="16" t="n">
        <v>18.4</v>
      </c>
      <c r="G5" s="16" t="n">
        <v>820000</v>
      </c>
      <c r="H5" s="23" t="n">
        <v>3.2</v>
      </c>
      <c r="I5" s="23" t="n">
        <v>78.2</v>
      </c>
      <c r="J5" s="16" t="n">
        <v>5.41</v>
      </c>
      <c r="K5" s="16" t="n">
        <v>1240</v>
      </c>
    </row>
    <row r="6" ht="20" customHeight="1">
      <c r="B6" s="19" t="inlineStr">
        <is>
          <t>ZA-MZ</t>
        </is>
      </c>
      <c r="C6" s="19" t="inlineStr">
        <is>
          <t>Mozambique</t>
        </is>
      </c>
      <c r="D6" s="21" t="inlineStr">
        <is>
          <t>High-Volume Core</t>
        </is>
      </c>
      <c r="E6" s="19" t="inlineStr">
        <is>
          <t>MKR+MMY</t>
        </is>
      </c>
      <c r="F6" s="19" t="n">
        <v>12.1</v>
      </c>
      <c r="G6" s="19" t="n">
        <v>540000</v>
      </c>
      <c r="H6" s="20" t="n">
        <v>2.8</v>
      </c>
      <c r="I6" s="24" t="n">
        <v>76.8</v>
      </c>
      <c r="J6" s="19" t="n">
        <v>5.38</v>
      </c>
      <c r="K6" s="19" t="n">
        <v>1150</v>
      </c>
    </row>
    <row r="7" ht="20" customHeight="1">
      <c r="B7" s="16" t="inlineStr">
        <is>
          <t>ZA-ZM</t>
        </is>
      </c>
      <c r="C7" s="16" t="inlineStr">
        <is>
          <t>Zambia</t>
        </is>
      </c>
      <c r="D7" s="18" t="inlineStr">
        <is>
          <t>High-Volume Core</t>
        </is>
      </c>
      <c r="E7" s="16" t="inlineStr">
        <is>
          <t>MKR</t>
        </is>
      </c>
      <c r="F7" s="16" t="n">
        <v>8.699999999999999</v>
      </c>
      <c r="G7" s="16" t="n">
        <v>390000</v>
      </c>
      <c r="H7" s="17" t="n">
        <v>2.1</v>
      </c>
      <c r="I7" s="23" t="n">
        <v>79.40000000000001</v>
      </c>
      <c r="J7" s="16" t="n">
        <v>5.39</v>
      </c>
      <c r="K7" s="16" t="n">
        <v>1320</v>
      </c>
    </row>
    <row r="8" ht="20" customHeight="1">
      <c r="B8" s="19" t="inlineStr">
        <is>
          <t>ZA-MW</t>
        </is>
      </c>
      <c r="C8" s="19" t="inlineStr">
        <is>
          <t>Malawi</t>
        </is>
      </c>
      <c r="D8" s="21" t="inlineStr">
        <is>
          <t>High-Volume Core</t>
        </is>
      </c>
      <c r="E8" s="19" t="inlineStr">
        <is>
          <t>MKR</t>
        </is>
      </c>
      <c r="F8" s="19" t="n">
        <v>6.2</v>
      </c>
      <c r="G8" s="19" t="n">
        <v>280000</v>
      </c>
      <c r="H8" s="24" t="n">
        <v>3.5</v>
      </c>
      <c r="I8" s="24" t="n">
        <v>77.09999999999999</v>
      </c>
      <c r="J8" s="19" t="n">
        <v>5.52</v>
      </c>
      <c r="K8" s="19" t="n">
        <v>980</v>
      </c>
    </row>
    <row r="9" ht="20" customHeight="1">
      <c r="B9" s="16" t="inlineStr">
        <is>
          <t>ZA-LS</t>
        </is>
      </c>
      <c r="C9" s="16" t="inlineStr">
        <is>
          <t>Lesotho</t>
        </is>
      </c>
      <c r="D9" s="23" t="inlineStr">
        <is>
          <t>Premium</t>
        </is>
      </c>
      <c r="E9" s="16" t="inlineStr">
        <is>
          <t>MKR+MMY</t>
        </is>
      </c>
      <c r="F9" s="16" t="n">
        <v>4.8</v>
      </c>
      <c r="G9" s="16" t="n">
        <v>195000</v>
      </c>
      <c r="H9" s="17" t="n">
        <v>1.8</v>
      </c>
      <c r="I9" s="17" t="n">
        <v>82.3</v>
      </c>
      <c r="J9" s="16" t="n">
        <v>6.21</v>
      </c>
      <c r="K9" s="16" t="n">
        <v>1680</v>
      </c>
    </row>
    <row r="10" ht="20" customHeight="1">
      <c r="B10" s="19" t="inlineStr">
        <is>
          <t>ZA-SZ</t>
        </is>
      </c>
      <c r="C10" s="19" t="inlineStr">
        <is>
          <t>Eswatini</t>
        </is>
      </c>
      <c r="D10" s="24" t="inlineStr">
        <is>
          <t>Premium</t>
        </is>
      </c>
      <c r="E10" s="19" t="inlineStr">
        <is>
          <t>MMY</t>
        </is>
      </c>
      <c r="F10" s="19" t="n">
        <v>3.1</v>
      </c>
      <c r="G10" s="19" t="n">
        <v>128000</v>
      </c>
      <c r="H10" s="20" t="n">
        <v>1.4</v>
      </c>
      <c r="I10" s="20" t="n">
        <v>84.09999999999999</v>
      </c>
      <c r="J10" s="19" t="n">
        <v>6.05</v>
      </c>
      <c r="K10" s="19" t="n">
        <v>1510</v>
      </c>
    </row>
    <row r="11" ht="20" customHeight="1">
      <c r="B11" s="16" t="inlineStr">
        <is>
          <t>ZA-BW</t>
        </is>
      </c>
      <c r="C11" s="16" t="inlineStr">
        <is>
          <t>Botswana</t>
        </is>
      </c>
      <c r="D11" s="23" t="inlineStr">
        <is>
          <t>Premium</t>
        </is>
      </c>
      <c r="E11" s="16" t="inlineStr">
        <is>
          <t>MKR+MMY</t>
        </is>
      </c>
      <c r="F11" s="16" t="n">
        <v>5.4</v>
      </c>
      <c r="G11" s="16" t="n">
        <v>210000</v>
      </c>
      <c r="H11" s="17" t="n">
        <v>2</v>
      </c>
      <c r="I11" s="17" t="n">
        <v>81.7</v>
      </c>
      <c r="J11" s="16" t="n">
        <v>5.88</v>
      </c>
      <c r="K11" s="16" t="n">
        <v>1720</v>
      </c>
    </row>
    <row r="12" ht="20" customHeight="1">
      <c r="B12" s="19" t="inlineStr">
        <is>
          <t>ZA-NA</t>
        </is>
      </c>
      <c r="C12" s="19" t="inlineStr">
        <is>
          <t>Namibia</t>
        </is>
      </c>
      <c r="D12" s="24" t="inlineStr">
        <is>
          <t>Premium</t>
        </is>
      </c>
      <c r="E12" s="19" t="inlineStr">
        <is>
          <t>MKR</t>
        </is>
      </c>
      <c r="F12" s="19" t="n">
        <v>3.9</v>
      </c>
      <c r="G12" s="19" t="n">
        <v>142000</v>
      </c>
      <c r="H12" s="20" t="n">
        <v>1.9</v>
      </c>
      <c r="I12" s="20" t="n">
        <v>80.5</v>
      </c>
      <c r="J12" s="19" t="n">
        <v>5.95</v>
      </c>
      <c r="K12" s="19" t="n">
        <v>1590</v>
      </c>
    </row>
    <row r="13" ht="20" customHeight="1">
      <c r="B13" s="16" t="inlineStr">
        <is>
          <t>ZA-MU</t>
        </is>
      </c>
      <c r="C13" s="16" t="inlineStr">
        <is>
          <t>Mauritius</t>
        </is>
      </c>
      <c r="D13" s="23" t="inlineStr">
        <is>
          <t>Premium</t>
        </is>
      </c>
      <c r="E13" s="16" t="inlineStr">
        <is>
          <t>MMY</t>
        </is>
      </c>
      <c r="F13" s="16" t="n">
        <v>2.2</v>
      </c>
      <c r="G13" s="16" t="n">
        <v>64000</v>
      </c>
      <c r="H13" s="17" t="n">
        <v>0.9</v>
      </c>
      <c r="I13" s="17" t="n">
        <v>87.40000000000001</v>
      </c>
      <c r="J13" s="16" t="n">
        <v>6.44</v>
      </c>
      <c r="K13" s="16" t="n">
        <v>2140</v>
      </c>
    </row>
    <row r="14" ht="20" customHeight="1">
      <c r="B14" s="19" t="inlineStr">
        <is>
          <t>ZA-TZ</t>
        </is>
      </c>
      <c r="C14" s="19" t="inlineStr">
        <is>
          <t>Tanzania</t>
        </is>
      </c>
      <c r="D14" s="25" t="inlineStr">
        <is>
          <t>Growth</t>
        </is>
      </c>
      <c r="E14" s="19" t="inlineStr">
        <is>
          <t>MKR+MMY</t>
        </is>
      </c>
      <c r="F14" s="19" t="n">
        <v>4.1</v>
      </c>
      <c r="G14" s="19" t="n">
        <v>168000</v>
      </c>
      <c r="H14" s="24" t="n">
        <v>4.1</v>
      </c>
      <c r="I14" s="24" t="n">
        <v>74.3</v>
      </c>
      <c r="J14" s="19" t="n">
        <v>5.15</v>
      </c>
      <c r="K14" s="19" t="n">
        <v>1080</v>
      </c>
    </row>
    <row r="15" ht="20" customHeight="1">
      <c r="B15" s="16" t="inlineStr">
        <is>
          <t>ZA-KE</t>
        </is>
      </c>
      <c r="C15" s="16" t="inlineStr">
        <is>
          <t>Kenya</t>
        </is>
      </c>
      <c r="D15" s="26" t="inlineStr">
        <is>
          <t>Growth</t>
        </is>
      </c>
      <c r="E15" s="16" t="inlineStr">
        <is>
          <t>MMY</t>
        </is>
      </c>
      <c r="F15" s="16" t="n">
        <v>3.6</v>
      </c>
      <c r="G15" s="16" t="n">
        <v>148000</v>
      </c>
      <c r="H15" s="23" t="n">
        <v>3.8</v>
      </c>
      <c r="I15" s="23" t="n">
        <v>75.59999999999999</v>
      </c>
      <c r="J15" s="16" t="n">
        <v>5.22</v>
      </c>
      <c r="K15" s="16" t="n">
        <v>1140</v>
      </c>
    </row>
    <row r="16" ht="20" customHeight="1">
      <c r="B16" s="19" t="inlineStr">
        <is>
          <t>ZA-GH</t>
        </is>
      </c>
      <c r="C16" s="19" t="inlineStr">
        <is>
          <t>Ghana</t>
        </is>
      </c>
      <c r="D16" s="25" t="inlineStr">
        <is>
          <t>Growth</t>
        </is>
      </c>
      <c r="E16" s="19" t="inlineStr">
        <is>
          <t>MKR+MMY</t>
        </is>
      </c>
      <c r="F16" s="19" t="n">
        <v>2.9</v>
      </c>
      <c r="G16" s="19" t="n">
        <v>118000</v>
      </c>
      <c r="H16" s="24" t="n">
        <v>4.6</v>
      </c>
      <c r="I16" s="24" t="n">
        <v>73.09999999999999</v>
      </c>
      <c r="J16" s="19" t="n">
        <v>5.08</v>
      </c>
      <c r="K16" s="19" t="n">
        <v>1050</v>
      </c>
    </row>
    <row r="17" ht="20" customHeight="1">
      <c r="B17" s="16" t="inlineStr">
        <is>
          <t>ZA-NG</t>
        </is>
      </c>
      <c r="C17" s="16" t="inlineStr">
        <is>
          <t>Nigeria</t>
        </is>
      </c>
      <c r="D17" s="26" t="inlineStr">
        <is>
          <t>Growth</t>
        </is>
      </c>
      <c r="E17" s="16" t="inlineStr">
        <is>
          <t>MMY</t>
        </is>
      </c>
      <c r="F17" s="16" t="n">
        <v>3.4</v>
      </c>
      <c r="G17" s="16" t="n">
        <v>138000</v>
      </c>
      <c r="H17" s="18" t="n">
        <v>6.1</v>
      </c>
      <c r="I17" s="18" t="n">
        <v>69.8</v>
      </c>
      <c r="J17" s="16" t="n">
        <v>4.85</v>
      </c>
      <c r="K17" s="16" t="n">
        <v>1180</v>
      </c>
    </row>
    <row r="18" ht="20" customHeight="1">
      <c r="B18" s="19" t="inlineStr">
        <is>
          <t>ZA-MG</t>
        </is>
      </c>
      <c r="C18" s="19" t="inlineStr">
        <is>
          <t>Madagascar</t>
        </is>
      </c>
      <c r="D18" s="25" t="inlineStr">
        <is>
          <t>Growth</t>
        </is>
      </c>
      <c r="E18" s="19" t="inlineStr">
        <is>
          <t>MKR</t>
        </is>
      </c>
      <c r="F18" s="19" t="n">
        <v>1.8</v>
      </c>
      <c r="G18" s="19" t="n">
        <v>72000</v>
      </c>
      <c r="H18" s="24" t="n">
        <v>5.2</v>
      </c>
      <c r="I18" s="24" t="n">
        <v>71.2</v>
      </c>
      <c r="J18" s="19" t="n">
        <v>4.92</v>
      </c>
      <c r="K18" s="19" t="n">
        <v>890</v>
      </c>
    </row>
    <row r="19" ht="20" customHeight="1">
      <c r="B19" s="16" t="inlineStr">
        <is>
          <t>ZA-AO</t>
        </is>
      </c>
      <c r="C19" s="16" t="inlineStr">
        <is>
          <t>Angola</t>
        </is>
      </c>
      <c r="D19" s="17" t="inlineStr">
        <is>
          <t>Emerging</t>
        </is>
      </c>
      <c r="E19" s="16" t="inlineStr">
        <is>
          <t>MKR</t>
        </is>
      </c>
      <c r="F19" s="16" t="n">
        <v>1.4</v>
      </c>
      <c r="G19" s="16" t="n">
        <v>52000</v>
      </c>
      <c r="H19" s="18" t="n">
        <v>6.8</v>
      </c>
      <c r="I19" s="18" t="n">
        <v>68.40000000000001</v>
      </c>
      <c r="J19" s="16" t="n">
        <v>4.71</v>
      </c>
      <c r="K19" s="16" t="n">
        <v>920</v>
      </c>
    </row>
    <row r="20" ht="20" customHeight="1">
      <c r="B20" s="19" t="inlineStr">
        <is>
          <t>ZA-CD</t>
        </is>
      </c>
      <c r="C20" s="19" t="inlineStr">
        <is>
          <t>DR Congo</t>
        </is>
      </c>
      <c r="D20" s="20" t="inlineStr">
        <is>
          <t>Emerging</t>
        </is>
      </c>
      <c r="E20" s="19" t="inlineStr">
        <is>
          <t>MKR</t>
        </is>
      </c>
      <c r="F20" s="19" t="n">
        <v>1.1</v>
      </c>
      <c r="G20" s="19" t="n">
        <v>44000</v>
      </c>
      <c r="H20" s="21" t="n">
        <v>8.199999999999999</v>
      </c>
      <c r="I20" s="21" t="n">
        <v>64.2</v>
      </c>
      <c r="J20" s="19" t="n">
        <v>4.55</v>
      </c>
      <c r="K20" s="19" t="n">
        <v>870</v>
      </c>
    </row>
    <row r="21" ht="20" customHeight="1">
      <c r="B21" s="16" t="inlineStr">
        <is>
          <t>ZA-ET</t>
        </is>
      </c>
      <c r="C21" s="16" t="inlineStr">
        <is>
          <t>Ethiopia</t>
        </is>
      </c>
      <c r="D21" s="17" t="inlineStr">
        <is>
          <t>Emerging</t>
        </is>
      </c>
      <c r="E21" s="16" t="inlineStr">
        <is>
          <t>MKR</t>
        </is>
      </c>
      <c r="F21" s="16" t="n">
        <v>0.9</v>
      </c>
      <c r="G21" s="16" t="n">
        <v>36000</v>
      </c>
      <c r="H21" s="18" t="n">
        <v>7.1</v>
      </c>
      <c r="I21" s="18" t="n">
        <v>66.8</v>
      </c>
      <c r="J21" s="16" t="n">
        <v>4.68</v>
      </c>
      <c r="K21" s="16" t="n">
        <v>810</v>
      </c>
    </row>
  </sheetData>
  <mergeCells count="1">
    <mergeCell ref="B1:L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A569BD"/>
    <outlinePr summaryBelow="1" summaryRight="1"/>
    <pageSetUpPr/>
  </sheetPr>
  <dimension ref="B1:M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2" customWidth="1" min="3" max="3"/>
    <col width="22" customWidth="1" min="6" max="6"/>
    <col width="12" customWidth="1" min="7" max="7"/>
    <col width="22" customWidth="1" min="10" max="10"/>
    <col width="12" customWidth="1" min="11" max="11"/>
  </cols>
  <sheetData>
    <row r="1" ht="22" customHeight="1">
      <c r="B1" s="27" t="inlineStr">
        <is>
          <t>Machine Learning Model Results — AfriMoney Intelligence Platform</t>
        </is>
      </c>
    </row>
    <row r="2" ht="22" customHeight="1"/>
    <row r="4" ht="32" customHeight="1">
      <c r="B4" s="28" t="inlineStr">
        <is>
          <t>Model</t>
        </is>
      </c>
      <c r="C4" s="28" t="inlineStr">
        <is>
          <t>Algorithm</t>
        </is>
      </c>
      <c r="D4" s="28" t="inlineStr">
        <is>
          <t>Train N</t>
        </is>
      </c>
      <c r="E4" s="28" t="inlineStr">
        <is>
          <t>Test N</t>
        </is>
      </c>
      <c r="F4" s="28" t="inlineStr">
        <is>
          <t>AUC-ROC</t>
        </is>
      </c>
      <c r="G4" s="28" t="inlineStr">
        <is>
          <t>Avg Precision</t>
        </is>
      </c>
      <c r="H4" s="28" t="inlineStr">
        <is>
          <t>CV Mean</t>
        </is>
      </c>
      <c r="I4" s="28" t="inlineStr">
        <is>
          <t>CV Std</t>
        </is>
      </c>
      <c r="J4" s="28" t="inlineStr">
        <is>
          <t>Inference Mode</t>
        </is>
      </c>
    </row>
    <row r="5" ht="24" customHeight="1">
      <c r="B5" s="16" t="inlineStr">
        <is>
          <t>Fraud Detection</t>
        </is>
      </c>
      <c r="C5" s="16" t="inlineStr">
        <is>
          <t>GradientBoostingClassifier</t>
        </is>
      </c>
      <c r="D5" s="16" t="inlineStr">
        <is>
          <t>160,000</t>
        </is>
      </c>
      <c r="E5" s="16" t="inlineStr">
        <is>
          <t>40,000</t>
        </is>
      </c>
      <c r="F5" s="29" t="n">
        <v>0.9582000000000001</v>
      </c>
      <c r="G5" s="16" t="n">
        <v>0.7745</v>
      </c>
      <c r="H5" s="16" t="n">
        <v>0.9576</v>
      </c>
      <c r="I5" s="16" t="n">
        <v>0.0009</v>
      </c>
      <c r="J5" s="16" t="inlineStr">
        <is>
          <t>Real-time UDF</t>
        </is>
      </c>
    </row>
    <row r="6" ht="24" customHeight="1">
      <c r="B6" s="19" t="inlineStr">
        <is>
          <t>Customer Churn</t>
        </is>
      </c>
      <c r="C6" s="19" t="inlineStr">
        <is>
          <t>RandomForestClassifier</t>
        </is>
      </c>
      <c r="D6" s="19" t="inlineStr">
        <is>
          <t>160,000</t>
        </is>
      </c>
      <c r="E6" s="19" t="inlineStr">
        <is>
          <t>40,000</t>
        </is>
      </c>
      <c r="F6" s="30" t="n">
        <v>0.9905</v>
      </c>
      <c r="G6" s="19" t="n">
        <v>0.9192</v>
      </c>
      <c r="H6" s="19" t="n">
        <v>0.9907</v>
      </c>
      <c r="I6" s="19" t="n">
        <v>0.0003</v>
      </c>
      <c r="J6" s="19" t="inlineStr">
        <is>
          <t>Weekly batch</t>
        </is>
      </c>
    </row>
    <row r="7" ht="24" customHeight="1">
      <c r="B7" s="16" t="inlineStr">
        <is>
          <t>Credit Risk PD</t>
        </is>
      </c>
      <c r="C7" s="16" t="inlineStr">
        <is>
          <t>GradientBoostingClassifier</t>
        </is>
      </c>
      <c r="D7" s="16" t="inlineStr">
        <is>
          <t>12,000</t>
        </is>
      </c>
      <c r="E7" s="16" t="inlineStr">
        <is>
          <t>3,000</t>
        </is>
      </c>
      <c r="F7" s="31" t="n">
        <v>0.9475</v>
      </c>
      <c r="G7" s="16" t="n">
        <v>0.9174</v>
      </c>
      <c r="H7" s="16" t="n">
        <v>0.9486</v>
      </c>
      <c r="I7" s="16" t="n">
        <v>0.0025</v>
      </c>
      <c r="J7" s="16" t="inlineStr">
        <is>
          <t>At origination</t>
        </is>
      </c>
    </row>
    <row r="9" ht="18" customHeight="1">
      <c r="B9" s="14" t="inlineStr">
        <is>
          <t>Feature Importance by Model (Top 8)</t>
        </is>
      </c>
    </row>
    <row r="10">
      <c r="B10" s="32" t="inlineStr">
        <is>
          <t>Fraud Detection</t>
        </is>
      </c>
      <c r="F10" s="33" t="inlineStr">
        <is>
          <t>Customer Churn</t>
        </is>
      </c>
      <c r="J10" s="34" t="inlineStr">
        <is>
          <t>Credit Risk PD</t>
        </is>
      </c>
    </row>
    <row r="11">
      <c r="B11" s="35" t="inlineStr">
        <is>
          <t>Feature</t>
        </is>
      </c>
      <c r="C11" s="35" t="inlineStr">
        <is>
          <t>Importance</t>
        </is>
      </c>
      <c r="F11" s="35" t="inlineStr">
        <is>
          <t>Feature</t>
        </is>
      </c>
      <c r="G11" s="35" t="inlineStr">
        <is>
          <t>Importance</t>
        </is>
      </c>
      <c r="J11" s="35" t="inlineStr">
        <is>
          <t>Feature</t>
        </is>
      </c>
      <c r="K11" s="35" t="inlineStr">
        <is>
          <t>Importance</t>
        </is>
      </c>
    </row>
    <row r="12" ht="18" customHeight="1">
      <c r="B12" s="36" t="inlineStr">
        <is>
          <t>Payment Attempts</t>
        </is>
      </c>
      <c r="C12" s="16" t="n">
        <v>0.312</v>
      </c>
      <c r="F12" s="36" t="inlineStr">
        <is>
          <t>Days Since Last</t>
        </is>
      </c>
      <c r="G12" s="16" t="n">
        <v>0.421</v>
      </c>
      <c r="J12" s="36" t="inlineStr">
        <is>
          <t>Dti Ratio</t>
        </is>
      </c>
      <c r="K12" s="16" t="n">
        <v>0.358</v>
      </c>
    </row>
    <row r="13" ht="18" customHeight="1">
      <c r="B13" s="37" t="inlineStr">
        <is>
          <t>Send Amount Log</t>
        </is>
      </c>
      <c r="C13" s="19" t="n">
        <v>0.241</v>
      </c>
      <c r="F13" s="37" t="inlineStr">
        <is>
          <t>Monthly Tx Rate</t>
        </is>
      </c>
      <c r="G13" s="19" t="n">
        <v>0.198</v>
      </c>
      <c r="J13" s="37" t="inlineStr">
        <is>
          <t>Prev Dpd</t>
        </is>
      </c>
      <c r="K13" s="19" t="n">
        <v>0.281</v>
      </c>
    </row>
    <row r="14" ht="18" customHeight="1">
      <c r="B14" s="36" t="inlineStr">
        <is>
          <t>Hour Of Day</t>
        </is>
      </c>
      <c r="C14" s="16" t="n">
        <v>0.138</v>
      </c>
      <c r="F14" s="36" t="inlineStr">
        <is>
          <t>Engagement Score</t>
        </is>
      </c>
      <c r="G14" s="16" t="n">
        <v>0.142</v>
      </c>
      <c r="J14" s="36" t="inlineStr">
        <is>
          <t>Employment Months</t>
        </is>
      </c>
      <c r="K14" s="16" t="n">
        <v>0.142</v>
      </c>
    </row>
    <row r="15" ht="18" customHeight="1">
      <c r="B15" s="37" t="inlineStr">
        <is>
          <t>Kyc Level</t>
        </is>
      </c>
      <c r="C15" s="19" t="n">
        <v>0.102</v>
      </c>
      <c r="F15" s="37" t="inlineStr">
        <is>
          <t>Total Transfers</t>
        </is>
      </c>
      <c r="G15" s="19" t="n">
        <v>0.098</v>
      </c>
      <c r="J15" s="37" t="inlineStr">
        <is>
          <t>Income Log</t>
        </is>
      </c>
      <c r="K15" s="19" t="n">
        <v>0.098</v>
      </c>
    </row>
    <row r="16" ht="18" customHeight="1">
      <c r="B16" s="36" t="inlineStr">
        <is>
          <t>Fx Spread Pct</t>
        </is>
      </c>
      <c r="C16" s="16" t="n">
        <v>0.08699999999999999</v>
      </c>
      <c r="F16" s="36" t="inlineStr">
        <is>
          <t>Wallet Balance</t>
        </is>
      </c>
      <c r="G16" s="16" t="n">
        <v>0.07099999999999999</v>
      </c>
      <c r="J16" s="36" t="inlineStr">
        <is>
          <t>Loan Count</t>
        </is>
      </c>
      <c r="K16" s="16" t="n">
        <v>0.07099999999999999</v>
      </c>
    </row>
    <row r="17" ht="18" customHeight="1">
      <c r="B17" s="37" t="inlineStr">
        <is>
          <t>Is Weekend</t>
        </is>
      </c>
      <c r="C17" s="19" t="n">
        <v>0.054</v>
      </c>
      <c r="F17" s="37" t="inlineStr">
        <is>
          <t>Kyc Level</t>
        </is>
      </c>
      <c r="G17" s="19" t="n">
        <v>0.038</v>
      </c>
      <c r="J17" s="37" t="inlineStr">
        <is>
          <t>Principal Log</t>
        </is>
      </c>
      <c r="K17" s="19" t="n">
        <v>0.033</v>
      </c>
    </row>
    <row r="18" ht="18" customHeight="1">
      <c r="B18" s="36" t="inlineStr">
        <is>
          <t>Corridor Idx</t>
        </is>
      </c>
      <c r="C18" s="16" t="n">
        <v>0.041</v>
      </c>
      <c r="F18" s="36" t="inlineStr">
        <is>
          <t>Distinct Corridors</t>
        </is>
      </c>
      <c r="G18" s="16" t="n">
        <v>0.022</v>
      </c>
      <c r="J18" s="36" t="inlineStr">
        <is>
          <t>Kyc Level</t>
        </is>
      </c>
      <c r="K18" s="16" t="n">
        <v>0.017</v>
      </c>
    </row>
    <row r="19" ht="18" customHeight="1">
      <c r="B19" s="37" t="inlineStr">
        <is>
          <t>Customer Tx Count</t>
        </is>
      </c>
      <c r="C19" s="19" t="n">
        <v>0.025</v>
      </c>
      <c r="F19" s="37" t="inlineStr">
        <is>
          <t>Card Transactions</t>
        </is>
      </c>
      <c r="G19" s="19" t="n">
        <v>0.01</v>
      </c>
    </row>
  </sheetData>
  <mergeCells count="1">
    <mergeCell ref="B1:M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4ECDC4"/>
    <outlinePr summaryBelow="1" summaryRight="1"/>
    <pageSetUpPr/>
  </sheetPr>
  <dimension ref="B1:K16"/>
  <sheetViews>
    <sheetView showGridLines="0" workbookViewId="0">
      <selection activeCell="A1" sqref="A1"/>
    </sheetView>
  </sheetViews>
  <sheetFormatPr baseColWidth="8" defaultRowHeight="15"/>
  <cols>
    <col width="2" customWidth="1" min="1" max="1"/>
  </cols>
  <sheetData>
    <row r="1" ht="22" customHeight="1">
      <c r="B1" s="38" t="inlineStr">
        <is>
          <t>Customer 360 — Segmentation &amp; Lifetime Value</t>
        </is>
      </c>
    </row>
    <row r="2" ht="22" customHeight="1"/>
    <row r="4" ht="32" customHeight="1">
      <c r="B4" s="39" t="inlineStr">
        <is>
          <t>LTV Band</t>
        </is>
      </c>
      <c r="C4" s="39" t="inlineStr">
        <is>
          <t>Definition</t>
        </is>
      </c>
      <c r="D4" s="39" t="inlineStr">
        <is>
          <t>Business</t>
        </is>
      </c>
      <c r="E4" s="39" t="inlineStr">
        <is>
          <t>KYC Level</t>
        </is>
      </c>
      <c r="F4" s="39" t="inlineStr">
        <is>
          <t>Cust % of 500K</t>
        </is>
      </c>
      <c r="G4" s="39" t="inlineStr">
        <is>
          <t>Avg LTV Score</t>
        </is>
      </c>
      <c r="H4" s="39" t="inlineStr">
        <is>
          <t>Avg Engagement</t>
        </is>
      </c>
      <c r="I4" s="39" t="inlineStr">
        <is>
          <t>Lifetime Rev R</t>
        </is>
      </c>
      <c r="J4" s="39" t="inlineStr">
        <is>
          <t>Churn Rate %</t>
        </is>
      </c>
      <c r="K4" s="39" t="inlineStr">
        <is>
          <t>Wallet Bal R</t>
        </is>
      </c>
    </row>
    <row r="5" ht="22" customHeight="1">
      <c r="B5" s="40" t="inlineStr">
        <is>
          <t>Champion</t>
        </is>
      </c>
      <c r="C5" s="16" t="inlineStr">
        <is>
          <t>LTV ≥ 2000</t>
        </is>
      </c>
      <c r="D5" s="16" t="inlineStr">
        <is>
          <t>MKR+MMY</t>
        </is>
      </c>
      <c r="E5" s="16" t="inlineStr">
        <is>
          <t>LEVEL_3</t>
        </is>
      </c>
      <c r="F5" s="41" t="n">
        <v>2.8</v>
      </c>
      <c r="G5" s="16" t="n">
        <v>4200</v>
      </c>
      <c r="H5" s="16" t="inlineStr">
        <is>
          <t>95%</t>
        </is>
      </c>
      <c r="I5" s="16" t="inlineStr">
        <is>
          <t>R 8,200</t>
        </is>
      </c>
      <c r="J5" s="16" t="inlineStr">
        <is>
          <t>1.2%</t>
        </is>
      </c>
      <c r="K5" s="16" t="inlineStr">
        <is>
          <t>R 42,000</t>
        </is>
      </c>
    </row>
    <row r="6" ht="22" customHeight="1">
      <c r="B6" s="42" t="inlineStr">
        <is>
          <t>High Value</t>
        </is>
      </c>
      <c r="C6" s="19" t="inlineStr">
        <is>
          <t>LTV 500–2000</t>
        </is>
      </c>
      <c r="D6" s="19" t="inlineStr">
        <is>
          <t>MKR+MMY</t>
        </is>
      </c>
      <c r="E6" s="19" t="inlineStr">
        <is>
          <t>LEVEL_2+</t>
        </is>
      </c>
      <c r="F6" s="43" t="n">
        <v>18.4</v>
      </c>
      <c r="G6" s="19" t="n">
        <v>2800</v>
      </c>
      <c r="H6" s="19" t="inlineStr">
        <is>
          <t>88%</t>
        </is>
      </c>
      <c r="I6" s="19" t="inlineStr">
        <is>
          <t>R 3,100</t>
        </is>
      </c>
      <c r="J6" s="19" t="inlineStr">
        <is>
          <t>8.1%</t>
        </is>
      </c>
      <c r="K6" s="19" t="inlineStr">
        <is>
          <t>R 28,500</t>
        </is>
      </c>
    </row>
    <row r="7" ht="22" customHeight="1">
      <c r="B7" s="44" t="inlineStr">
        <is>
          <t>Medium Value</t>
        </is>
      </c>
      <c r="C7" s="16" t="inlineStr">
        <is>
          <t>LTV 100–500</t>
        </is>
      </c>
      <c r="D7" s="16" t="inlineStr">
        <is>
          <t>MKR</t>
        </is>
      </c>
      <c r="E7" s="16" t="inlineStr">
        <is>
          <t>LEVEL_2</t>
        </is>
      </c>
      <c r="F7" s="41" t="n">
        <v>44.1</v>
      </c>
      <c r="G7" s="16" t="n">
        <v>1200</v>
      </c>
      <c r="H7" s="16" t="inlineStr">
        <is>
          <t>72%</t>
        </is>
      </c>
      <c r="I7" s="16" t="inlineStr">
        <is>
          <t>R 680</t>
        </is>
      </c>
      <c r="J7" s="16" t="inlineStr">
        <is>
          <t>22.8%</t>
        </is>
      </c>
      <c r="K7" s="16" t="inlineStr">
        <is>
          <t>R 12,400</t>
        </is>
      </c>
    </row>
    <row r="8" ht="22" customHeight="1">
      <c r="B8" s="45" t="inlineStr">
        <is>
          <t>Low Value</t>
        </is>
      </c>
      <c r="C8" s="19" t="inlineStr">
        <is>
          <t>LTV 1–100</t>
        </is>
      </c>
      <c r="D8" s="19" t="inlineStr">
        <is>
          <t>MKR+MMY</t>
        </is>
      </c>
      <c r="E8" s="19" t="inlineStr">
        <is>
          <t>LEVEL_1+</t>
        </is>
      </c>
      <c r="F8" s="43" t="n">
        <v>26.3</v>
      </c>
      <c r="G8" s="19" t="n">
        <v>480</v>
      </c>
      <c r="H8" s="19" t="inlineStr">
        <is>
          <t>58%</t>
        </is>
      </c>
      <c r="I8" s="19" t="inlineStr">
        <is>
          <t>R 140</t>
        </is>
      </c>
      <c r="J8" s="19" t="inlineStr">
        <is>
          <t>11.8%</t>
        </is>
      </c>
      <c r="K8" s="19" t="inlineStr">
        <is>
          <t>R 4,200</t>
        </is>
      </c>
    </row>
    <row r="9" ht="22" customHeight="1">
      <c r="B9" s="46" t="inlineStr">
        <is>
          <t>Zero Value</t>
        </is>
      </c>
      <c r="C9" s="16" t="inlineStr">
        <is>
          <t>LTV = 0</t>
        </is>
      </c>
      <c r="D9" s="16" t="inlineStr">
        <is>
          <t>MKR+MMY</t>
        </is>
      </c>
      <c r="E9" s="16" t="inlineStr">
        <is>
          <t>LEVEL_0+</t>
        </is>
      </c>
      <c r="F9" s="41" t="n">
        <v>8.4</v>
      </c>
      <c r="G9" s="16" t="n">
        <v>0</v>
      </c>
      <c r="H9" s="16" t="inlineStr">
        <is>
          <t>31%</t>
        </is>
      </c>
      <c r="I9" s="16" t="inlineStr">
        <is>
          <t>R 0</t>
        </is>
      </c>
      <c r="J9" s="16" t="inlineStr">
        <is>
          <t>1.8%</t>
        </is>
      </c>
      <c r="K9" s="16" t="inlineStr">
        <is>
          <t>R 0</t>
        </is>
      </c>
    </row>
    <row r="12">
      <c r="I12" s="47" t="inlineStr">
        <is>
          <t>KYC Level Distribution</t>
        </is>
      </c>
    </row>
    <row r="13" ht="20" customHeight="1">
      <c r="I13" s="18" t="inlineStr">
        <is>
          <t>LEVEL_0</t>
        </is>
      </c>
      <c r="J13" s="16" t="inlineStr">
        <is>
          <t>Unverified</t>
        </is>
      </c>
      <c r="K13" s="18" t="inlineStr">
        <is>
          <t>5%</t>
        </is>
      </c>
    </row>
    <row r="14" ht="20" customHeight="1">
      <c r="I14" s="24" t="inlineStr">
        <is>
          <t>LEVEL_1</t>
        </is>
      </c>
      <c r="J14" s="19" t="inlineStr">
        <is>
          <t>Basic</t>
        </is>
      </c>
      <c r="K14" s="24" t="inlineStr">
        <is>
          <t>20%</t>
        </is>
      </c>
    </row>
    <row r="15" ht="20" customHeight="1">
      <c r="I15" s="17" t="inlineStr">
        <is>
          <t>LEVEL_2</t>
        </is>
      </c>
      <c r="J15" s="16" t="inlineStr">
        <is>
          <t>Verified</t>
        </is>
      </c>
      <c r="K15" s="17" t="inlineStr">
        <is>
          <t>50%</t>
        </is>
      </c>
    </row>
    <row r="16" ht="20" customHeight="1">
      <c r="I16" s="25" t="inlineStr">
        <is>
          <t>LEVEL_3</t>
        </is>
      </c>
      <c r="J16" s="19" t="inlineStr">
        <is>
          <t>Premium</t>
        </is>
      </c>
      <c r="K16" s="25" t="inlineStr">
        <is>
          <t>25%</t>
        </is>
      </c>
    </row>
  </sheetData>
  <mergeCells count="1">
    <mergeCell ref="B1:K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F5A623"/>
    <outlinePr summaryBelow="1" summaryRight="1"/>
    <pageSetUpPr/>
  </sheetPr>
  <dimension ref="B1:J14"/>
  <sheetViews>
    <sheetView showGridLines="0" workbookViewId="0">
      <selection activeCell="A1" sqref="A1"/>
    </sheetView>
  </sheetViews>
  <sheetFormatPr baseColWidth="8" defaultRowHeight="15"/>
  <cols>
    <col width="2" customWidth="1" min="1" max="1"/>
  </cols>
  <sheetData>
    <row r="1" ht="22" customHeight="1">
      <c r="B1" s="48" t="inlineStr">
        <is>
          <t>FX Rates &amp; Corridor Profitability</t>
        </is>
      </c>
    </row>
    <row r="2" ht="22" customHeight="1"/>
    <row r="4" ht="32" customHeight="1">
      <c r="B4" s="49" t="inlineStr">
        <is>
          <t>Corridor</t>
        </is>
      </c>
      <c r="C4" s="49" t="inlineStr">
        <is>
          <t>Currency Pair</t>
        </is>
      </c>
      <c r="D4" s="49" t="inlineStr">
        <is>
          <t>FX Spread %</t>
        </is>
      </c>
      <c r="E4" s="49" t="inlineStr">
        <is>
          <t>Fee Share %</t>
        </is>
      </c>
      <c r="F4" s="49" t="inlineStr">
        <is>
          <t>Net FX Margin %</t>
        </is>
      </c>
      <c r="G4" s="49" t="inlineStr">
        <is>
          <t>FX Revenue</t>
        </is>
      </c>
    </row>
    <row r="5" ht="20" customHeight="1">
      <c r="B5" s="26" t="inlineStr">
        <is>
          <t>ZA-ZW</t>
        </is>
      </c>
      <c r="C5" s="16" t="inlineStr">
        <is>
          <t>USD/ZWG</t>
        </is>
      </c>
      <c r="D5" s="16" t="inlineStr">
        <is>
          <t>5.41%</t>
        </is>
      </c>
      <c r="E5" s="16" t="inlineStr">
        <is>
          <t>4.82%</t>
        </is>
      </c>
      <c r="F5" s="16" t="inlineStr">
        <is>
          <t>0.59%</t>
        </is>
      </c>
      <c r="G5" s="16" t="inlineStr">
        <is>
          <t>R 4.82B</t>
        </is>
      </c>
    </row>
    <row r="6" ht="20" customHeight="1">
      <c r="B6" s="20" t="inlineStr">
        <is>
          <t>ZA-MZ</t>
        </is>
      </c>
      <c r="C6" s="19" t="inlineStr">
        <is>
          <t>ZAR/MZN</t>
        </is>
      </c>
      <c r="D6" s="19" t="inlineStr">
        <is>
          <t>5.38%</t>
        </is>
      </c>
      <c r="E6" s="19" t="inlineStr">
        <is>
          <t>4.78%</t>
        </is>
      </c>
      <c r="F6" s="19" t="inlineStr">
        <is>
          <t>0.60%</t>
        </is>
      </c>
      <c r="G6" s="19" t="inlineStr">
        <is>
          <t>R 3.21B</t>
        </is>
      </c>
    </row>
    <row r="7" ht="20" customHeight="1">
      <c r="B7" s="23" t="inlineStr">
        <is>
          <t>ZA-LS</t>
        </is>
      </c>
      <c r="C7" s="16" t="inlineStr">
        <is>
          <t>ZAR/LSL</t>
        </is>
      </c>
      <c r="D7" s="16" t="inlineStr">
        <is>
          <t>6.21%</t>
        </is>
      </c>
      <c r="E7" s="16" t="inlineStr">
        <is>
          <t>5.55%</t>
        </is>
      </c>
      <c r="F7" s="16" t="inlineStr">
        <is>
          <t>0.66%</t>
        </is>
      </c>
      <c r="G7" s="16" t="inlineStr">
        <is>
          <t>R 1.48B</t>
        </is>
      </c>
    </row>
    <row r="8" ht="20" customHeight="1">
      <c r="B8" s="21" t="inlineStr">
        <is>
          <t>ZA-MU</t>
        </is>
      </c>
      <c r="C8" s="19" t="inlineStr">
        <is>
          <t>ZAR/MUR</t>
        </is>
      </c>
      <c r="D8" s="19" t="inlineStr">
        <is>
          <t>6.44%</t>
        </is>
      </c>
      <c r="E8" s="19" t="inlineStr">
        <is>
          <t>5.76%</t>
        </is>
      </c>
      <c r="F8" s="19" t="inlineStr">
        <is>
          <t>0.68%</t>
        </is>
      </c>
      <c r="G8" s="19" t="inlineStr">
        <is>
          <t>R 0.71B</t>
        </is>
      </c>
    </row>
    <row r="9" ht="20" customHeight="1">
      <c r="B9" s="26" t="inlineStr">
        <is>
          <t>ZA-BW</t>
        </is>
      </c>
      <c r="C9" s="16" t="inlineStr">
        <is>
          <t>ZAR/BWP</t>
        </is>
      </c>
      <c r="D9" s="16" t="inlineStr">
        <is>
          <t>5.88%</t>
        </is>
      </c>
      <c r="E9" s="16" t="inlineStr">
        <is>
          <t>5.24%</t>
        </is>
      </c>
      <c r="F9" s="16" t="inlineStr">
        <is>
          <t>0.64%</t>
        </is>
      </c>
      <c r="G9" s="16" t="inlineStr">
        <is>
          <t>R 1.68B</t>
        </is>
      </c>
    </row>
    <row r="10" ht="20" customHeight="1">
      <c r="B10" s="20" t="inlineStr">
        <is>
          <t>ZA-SZ</t>
        </is>
      </c>
      <c r="C10" s="19" t="inlineStr">
        <is>
          <t>ZAR/SZL</t>
        </is>
      </c>
      <c r="D10" s="19" t="inlineStr">
        <is>
          <t>6.05%</t>
        </is>
      </c>
      <c r="E10" s="19" t="inlineStr">
        <is>
          <t>5.41%</t>
        </is>
      </c>
      <c r="F10" s="19" t="inlineStr">
        <is>
          <t>0.64%</t>
        </is>
      </c>
      <c r="G10" s="19" t="inlineStr">
        <is>
          <t>R 0.99B</t>
        </is>
      </c>
    </row>
    <row r="11" ht="20" customHeight="1">
      <c r="B11" s="23" t="inlineStr">
        <is>
          <t>ZA-ZM</t>
        </is>
      </c>
      <c r="C11" s="16" t="inlineStr">
        <is>
          <t>ZAR/ZMW</t>
        </is>
      </c>
      <c r="D11" s="16" t="inlineStr">
        <is>
          <t>5.39%</t>
        </is>
      </c>
      <c r="E11" s="16" t="inlineStr">
        <is>
          <t>4.80%</t>
        </is>
      </c>
      <c r="F11" s="16" t="inlineStr">
        <is>
          <t>0.59%</t>
        </is>
      </c>
      <c r="G11" s="16" t="inlineStr">
        <is>
          <t>R 2.69B</t>
        </is>
      </c>
    </row>
    <row r="12" ht="20" customHeight="1">
      <c r="B12" s="21" t="inlineStr">
        <is>
          <t>ZA-NG</t>
        </is>
      </c>
      <c r="C12" s="19" t="inlineStr">
        <is>
          <t>NGN/ZAR</t>
        </is>
      </c>
      <c r="D12" s="19" t="inlineStr">
        <is>
          <t>4.85%</t>
        </is>
      </c>
      <c r="E12" s="19" t="inlineStr">
        <is>
          <t>4.19%</t>
        </is>
      </c>
      <c r="F12" s="19" t="inlineStr">
        <is>
          <t>0.66%</t>
        </is>
      </c>
      <c r="G12" s="19" t="inlineStr">
        <is>
          <t>R 0.87B</t>
        </is>
      </c>
    </row>
    <row r="13" ht="20" customHeight="1">
      <c r="B13" s="26" t="inlineStr">
        <is>
          <t>ZA-KE</t>
        </is>
      </c>
      <c r="C13" s="16" t="inlineStr">
        <is>
          <t>ZAR/KES</t>
        </is>
      </c>
      <c r="D13" s="16" t="inlineStr">
        <is>
          <t>5.22%</t>
        </is>
      </c>
      <c r="E13" s="16" t="inlineStr">
        <is>
          <t>4.61%</t>
        </is>
      </c>
      <c r="F13" s="16" t="inlineStr">
        <is>
          <t>0.61%</t>
        </is>
      </c>
      <c r="G13" s="16" t="inlineStr">
        <is>
          <t>R 1.10B</t>
        </is>
      </c>
    </row>
    <row r="14" ht="20" customHeight="1">
      <c r="B14" s="20" t="inlineStr">
        <is>
          <t>ZA-TZ</t>
        </is>
      </c>
      <c r="C14" s="19" t="inlineStr">
        <is>
          <t>ZAR/TZS</t>
        </is>
      </c>
      <c r="D14" s="19" t="inlineStr">
        <is>
          <t>5.15%</t>
        </is>
      </c>
      <c r="E14" s="19" t="inlineStr">
        <is>
          <t>4.54%</t>
        </is>
      </c>
      <c r="F14" s="19" t="inlineStr">
        <is>
          <t>0.61%</t>
        </is>
      </c>
      <c r="G14" s="19" t="inlineStr">
        <is>
          <t>R 1.27B</t>
        </is>
      </c>
    </row>
  </sheetData>
  <mergeCells count="1">
    <mergeCell ref="B1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6B6B"/>
    <outlinePr summaryBelow="1" summaryRight="1"/>
    <pageSetUpPr/>
  </sheetPr>
  <dimension ref="B1:J10"/>
  <sheetViews>
    <sheetView showGridLines="0" workbookViewId="0">
      <selection activeCell="A1" sqref="A1"/>
    </sheetView>
  </sheetViews>
  <sheetFormatPr baseColWidth="8" defaultRowHeight="15"/>
  <cols>
    <col width="2" customWidth="1" min="1" max="1"/>
  </cols>
  <sheetData>
    <row r="1" ht="22" customHeight="1">
      <c r="B1" s="50" t="inlineStr">
        <is>
          <t>Risk &amp; Compliance Dashboard — Monthly KPIs</t>
        </is>
      </c>
    </row>
    <row r="2" ht="22" customHeight="1"/>
    <row r="4" ht="32" customHeight="1">
      <c r="B4" s="51" t="inlineStr">
        <is>
          <t>Month</t>
        </is>
      </c>
      <c r="C4" s="51" t="inlineStr">
        <is>
          <t>Fraud Rate bps</t>
        </is>
      </c>
      <c r="D4" s="51" t="inlineStr">
        <is>
          <t>Fraud RAG</t>
        </is>
      </c>
      <c r="E4" s="51" t="inlineStr">
        <is>
          <t>KYC Complete %</t>
        </is>
      </c>
      <c r="F4" s="51" t="inlineStr">
        <is>
          <t>KYC RAG</t>
        </is>
      </c>
      <c r="G4" s="51" t="inlineStr">
        <is>
          <t>Success Rate %</t>
        </is>
      </c>
      <c r="H4" s="51" t="inlineStr">
        <is>
          <t>Ops RAG</t>
        </is>
      </c>
      <c r="I4" s="51" t="inlineStr">
        <is>
          <t>Cancelled %</t>
        </is>
      </c>
    </row>
    <row r="5" ht="22" customHeight="1">
      <c r="B5" s="16" t="inlineStr">
        <is>
          <t>Jan-26</t>
        </is>
      </c>
      <c r="C5" s="23" t="n">
        <v>4.1</v>
      </c>
      <c r="D5" s="16" t="inlineStr">
        <is>
          <t>🟡</t>
        </is>
      </c>
      <c r="E5" s="16" t="n">
        <v>79.2</v>
      </c>
      <c r="F5" s="16" t="inlineStr">
        <is>
          <t>🟡</t>
        </is>
      </c>
      <c r="G5" s="23" t="n">
        <v>76.09999999999999</v>
      </c>
      <c r="H5" s="16" t="inlineStr">
        <is>
          <t>🟡</t>
        </is>
      </c>
      <c r="I5" s="16" t="n">
        <v>8.199999999999999</v>
      </c>
    </row>
    <row r="6" ht="22" customHeight="1">
      <c r="B6" s="19" t="inlineStr">
        <is>
          <t>Feb-26</t>
        </is>
      </c>
      <c r="C6" s="24" t="n">
        <v>3.8</v>
      </c>
      <c r="D6" s="19" t="inlineStr">
        <is>
          <t>🟡</t>
        </is>
      </c>
      <c r="E6" s="19" t="n">
        <v>79.8</v>
      </c>
      <c r="F6" s="19" t="inlineStr">
        <is>
          <t>🟡</t>
        </is>
      </c>
      <c r="G6" s="24" t="n">
        <v>76.8</v>
      </c>
      <c r="H6" s="19" t="inlineStr">
        <is>
          <t>🟡</t>
        </is>
      </c>
      <c r="I6" s="19" t="n">
        <v>7.9</v>
      </c>
    </row>
    <row r="7" ht="22" customHeight="1">
      <c r="B7" s="16" t="inlineStr">
        <is>
          <t>Mar-26</t>
        </is>
      </c>
      <c r="C7" s="23" t="n">
        <v>3.5</v>
      </c>
      <c r="D7" s="16" t="inlineStr">
        <is>
          <t>🟡</t>
        </is>
      </c>
      <c r="E7" s="16" t="n">
        <v>80.5</v>
      </c>
      <c r="F7" s="16" t="inlineStr">
        <is>
          <t>🟢</t>
        </is>
      </c>
      <c r="G7" s="23" t="n">
        <v>77.40000000000001</v>
      </c>
      <c r="H7" s="16" t="inlineStr">
        <is>
          <t>🟢</t>
        </is>
      </c>
      <c r="I7" s="16" t="n">
        <v>7.6</v>
      </c>
    </row>
    <row r="8" ht="22" customHeight="1">
      <c r="B8" s="19" t="inlineStr">
        <is>
          <t>Apr-26</t>
        </is>
      </c>
      <c r="C8" s="24" t="n">
        <v>3.2</v>
      </c>
      <c r="D8" s="19" t="inlineStr">
        <is>
          <t>🟢</t>
        </is>
      </c>
      <c r="E8" s="19" t="n">
        <v>81.2</v>
      </c>
      <c r="F8" s="19" t="inlineStr">
        <is>
          <t>🟢</t>
        </is>
      </c>
      <c r="G8" s="24" t="n">
        <v>78</v>
      </c>
      <c r="H8" s="19" t="inlineStr">
        <is>
          <t>🟢</t>
        </is>
      </c>
      <c r="I8" s="19" t="n">
        <v>7.3</v>
      </c>
    </row>
    <row r="9" ht="22" customHeight="1">
      <c r="B9" s="16" t="inlineStr">
        <is>
          <t>May-26</t>
        </is>
      </c>
      <c r="C9" s="23" t="n">
        <v>3</v>
      </c>
      <c r="D9" s="16" t="inlineStr">
        <is>
          <t>🟢</t>
        </is>
      </c>
      <c r="E9" s="16" t="n">
        <v>81.8</v>
      </c>
      <c r="F9" s="16" t="inlineStr">
        <is>
          <t>🟢</t>
        </is>
      </c>
      <c r="G9" s="23" t="n">
        <v>78.59999999999999</v>
      </c>
      <c r="H9" s="16" t="inlineStr">
        <is>
          <t>🟢</t>
        </is>
      </c>
      <c r="I9" s="16" t="n">
        <v>7</v>
      </c>
    </row>
    <row r="10" ht="22" customHeight="1">
      <c r="B10" s="19" t="inlineStr">
        <is>
          <t>Jun-26</t>
        </is>
      </c>
      <c r="C10" s="20" t="n">
        <v>2.8</v>
      </c>
      <c r="D10" s="19" t="inlineStr">
        <is>
          <t>🟢</t>
        </is>
      </c>
      <c r="E10" s="19" t="n">
        <v>82.40000000000001</v>
      </c>
      <c r="F10" s="19" t="inlineStr">
        <is>
          <t>🟢</t>
        </is>
      </c>
      <c r="G10" s="24" t="n">
        <v>79.2</v>
      </c>
      <c r="H10" s="19" t="inlineStr">
        <is>
          <t>🟢</t>
        </is>
      </c>
      <c r="I10" s="19" t="n">
        <v>6.7</v>
      </c>
    </row>
  </sheetData>
  <mergeCells count="1">
    <mergeCell ref="B1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6B6B"/>
    <outlinePr summaryBelow="1" summaryRight="1"/>
    <pageSetUpPr/>
  </sheetPr>
  <dimension ref="B1:K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16" customWidth="1" min="3" max="3"/>
    <col width="18" customWidth="1" min="4" max="4"/>
    <col width="18" customWidth="1" min="5" max="5"/>
    <col width="12" customWidth="1" min="6" max="6"/>
    <col width="16" customWidth="1" min="7" max="7"/>
    <col width="16" customWidth="1" min="8" max="8"/>
    <col width="12" customWidth="1" min="9" max="9"/>
    <col width="10" customWidth="1" min="10" max="10"/>
  </cols>
  <sheetData>
    <row r="1" ht="22" customHeight="1">
      <c r="B1" s="22" t="inlineStr">
        <is>
          <t>Reconciliation &amp; Settlement Controls — Collection vs Disbursement</t>
        </is>
      </c>
    </row>
    <row r="2" ht="22" customHeight="1"/>
    <row r="3" ht="16" customHeight="1">
      <c r="B3" s="52" t="inlineStr">
        <is>
          <t>mart_reconciliation (dbt Gold) — reconciles committed transfer amounts against FACT_PAYMENT (collection) and FACT_PAYOUT (settlement). Split by business unit so an over-collecting corridor can't hide an under-collecting one behind a blended average.</t>
        </is>
      </c>
    </row>
    <row r="4" ht="14" customHeight="1">
      <c r="B4" s="53" t="inlineStr">
        <is>
          <t>Collection — MKR</t>
        </is>
      </c>
      <c r="D4" s="53" t="inlineStr">
        <is>
          <t>Collection — MMY</t>
        </is>
      </c>
      <c r="F4" s="54" t="inlineStr">
        <is>
          <t>Settlement — MKR</t>
        </is>
      </c>
      <c r="H4" s="55" t="inlineStr">
        <is>
          <t>Settlement — MMY</t>
        </is>
      </c>
      <c r="J4" s="53" t="inlineStr">
        <is>
          <t>Total Recon. Breaks</t>
        </is>
      </c>
    </row>
    <row r="5" ht="32" customHeight="1">
      <c r="B5" s="56" t="inlineStr">
        <is>
          <t>102.0%</t>
        </is>
      </c>
      <c r="D5" s="56" t="inlineStr">
        <is>
          <t>96.5%</t>
        </is>
      </c>
      <c r="F5" s="57" t="inlineStr">
        <is>
          <t>99.3%</t>
        </is>
      </c>
      <c r="H5" s="58" t="inlineStr">
        <is>
          <t>96.1%</t>
        </is>
      </c>
      <c r="J5" s="56" t="inlineStr">
        <is>
          <t>20</t>
        </is>
      </c>
    </row>
    <row r="7" ht="32" customHeight="1">
      <c r="B7" s="15" t="inlineStr">
        <is>
          <t>Business</t>
        </is>
      </c>
      <c r="C7" s="15" t="inlineStr">
        <is>
          <t>Completed Xfers</t>
        </is>
      </c>
      <c r="D7" s="15" t="inlineStr">
        <is>
          <t>Expected Collection R</t>
        </is>
      </c>
      <c r="E7" s="15" t="inlineStr">
        <is>
          <t>Actual Collection R</t>
        </is>
      </c>
      <c r="F7" s="15" t="inlineStr">
        <is>
          <t>Collection %</t>
        </is>
      </c>
      <c r="G7" s="15" t="inlineStr">
        <is>
          <t>Committed R</t>
        </is>
      </c>
      <c r="H7" s="15" t="inlineStr">
        <is>
          <t>Disbursed R</t>
        </is>
      </c>
      <c r="I7" s="15" t="inlineStr">
        <is>
          <t>Settlement %</t>
        </is>
      </c>
    </row>
    <row r="8" ht="22" customHeight="1">
      <c r="B8" s="17" t="inlineStr">
        <is>
          <t>MKR</t>
        </is>
      </c>
      <c r="C8" s="16" t="inlineStr">
        <is>
          <t>178</t>
        </is>
      </c>
      <c r="D8" s="16" t="inlineStr">
        <is>
          <t>R 544,184.28</t>
        </is>
      </c>
      <c r="E8" s="16" t="inlineStr">
        <is>
          <t>R 555,149.99</t>
        </is>
      </c>
      <c r="F8" s="17" t="inlineStr">
        <is>
          <t>102.0%</t>
        </is>
      </c>
      <c r="G8" s="16" t="inlineStr">
        <is>
          <t>R 530,911.43</t>
        </is>
      </c>
      <c r="H8" s="16" t="inlineStr">
        <is>
          <t>R 527,190.16</t>
        </is>
      </c>
      <c r="I8" s="16" t="inlineStr">
        <is>
          <t>99.3%</t>
        </is>
      </c>
    </row>
    <row r="9" ht="22" customHeight="1">
      <c r="B9" s="24" t="inlineStr">
        <is>
          <t>MMY</t>
        </is>
      </c>
      <c r="C9" s="19" t="inlineStr">
        <is>
          <t>92</t>
        </is>
      </c>
      <c r="D9" s="19" t="inlineStr">
        <is>
          <t>R 286,639.41</t>
        </is>
      </c>
      <c r="E9" s="19" t="inlineStr">
        <is>
          <t>R 276,467.48</t>
        </is>
      </c>
      <c r="F9" s="21" t="inlineStr">
        <is>
          <t>96.5%</t>
        </is>
      </c>
      <c r="G9" s="19" t="inlineStr">
        <is>
          <t>R 279,648.23</t>
        </is>
      </c>
      <c r="H9" s="19" t="inlineStr">
        <is>
          <t>R 268,740.38</t>
        </is>
      </c>
      <c r="I9" s="19" t="inlineStr">
        <is>
          <t>96.1%</t>
        </is>
      </c>
    </row>
    <row r="11" ht="18" customHeight="1">
      <c r="B11" s="59" t="inlineStr">
        <is>
          <t>Break Types Detected (validation run)</t>
        </is>
      </c>
    </row>
    <row r="12" ht="32" customHeight="1">
      <c r="B12" s="15" t="inlineStr">
        <is>
          <t>Break Type</t>
        </is>
      </c>
      <c r="C12" s="15" t="inlineStr">
        <is>
          <t>Count</t>
        </is>
      </c>
      <c r="D12" s="15" t="inlineStr">
        <is>
          <t>Model</t>
        </is>
      </c>
    </row>
    <row r="13" ht="20" customHeight="1">
      <c r="B13" s="60" t="inlineStr">
        <is>
          <t>MISSING_PAYMENT</t>
        </is>
      </c>
      <c r="C13" s="16" t="n">
        <v>5</v>
      </c>
      <c r="D13" s="16" t="inlineStr">
        <is>
          <t>int_payment_reconciliation</t>
        </is>
      </c>
    </row>
    <row r="14" ht="20" customHeight="1">
      <c r="B14" s="61" t="inlineStr">
        <is>
          <t>DUPLICATE_SUCCESSFUL_PAYMENT</t>
        </is>
      </c>
      <c r="C14" s="19" t="n">
        <v>4</v>
      </c>
      <c r="D14" s="19" t="inlineStr">
        <is>
          <t>int_payment_reconciliation</t>
        </is>
      </c>
    </row>
    <row r="15" ht="20" customHeight="1">
      <c r="B15" s="60" t="inlineStr">
        <is>
          <t>AMOUNT_MISMATCH</t>
        </is>
      </c>
      <c r="C15" s="16" t="n">
        <v>5</v>
      </c>
      <c r="D15" s="16" t="inlineStr">
        <is>
          <t>int_payment_reconciliation</t>
        </is>
      </c>
    </row>
    <row r="16" ht="20" customHeight="1">
      <c r="B16" s="61" t="inlineStr">
        <is>
          <t>MISSING_SETTLEMENT</t>
        </is>
      </c>
      <c r="C16" s="19" t="n">
        <v>6</v>
      </c>
      <c r="D16" s="19" t="inlineStr">
        <is>
          <t>int_payout_reconciliation</t>
        </is>
      </c>
    </row>
    <row r="18" ht="18" customHeight="1">
      <c r="B18" s="59" t="inlineStr">
        <is>
          <t>Target / Alert Thresholds</t>
        </is>
      </c>
    </row>
    <row r="19" ht="32" customHeight="1">
      <c r="B19" s="15" t="inlineStr">
        <is>
          <t>KPI</t>
        </is>
      </c>
      <c r="C19" s="15" t="inlineStr">
        <is>
          <t>Target</t>
        </is>
      </c>
      <c r="D19" s="15" t="inlineStr">
        <is>
          <t>Alert</t>
        </is>
      </c>
      <c r="E19" s="15" t="inlineStr">
        <is>
          <t>Owner</t>
        </is>
      </c>
    </row>
    <row r="20" ht="20" customHeight="1">
      <c r="B20" s="36" t="inlineStr">
        <is>
          <t>Collection Completeness</t>
        </is>
      </c>
      <c r="C20" s="16" t="inlineStr">
        <is>
          <t>99.5–100.5%</t>
        </is>
      </c>
      <c r="D20" s="16" t="inlineStr">
        <is>
          <t>&lt;98% or &gt;102%</t>
        </is>
      </c>
      <c r="E20" s="36" t="inlineStr">
        <is>
          <t>Finance / Treasury Ops</t>
        </is>
      </c>
    </row>
    <row r="21" ht="20" customHeight="1">
      <c r="B21" s="37" t="inlineStr">
        <is>
          <t>Settlement Completeness</t>
        </is>
      </c>
      <c r="C21" s="19" t="inlineStr">
        <is>
          <t>99.5–100.5%</t>
        </is>
      </c>
      <c r="D21" s="19" t="inlineStr">
        <is>
          <t>&lt;98% or &gt;102%</t>
        </is>
      </c>
      <c r="E21" s="37" t="inlineStr">
        <is>
          <t>Finance / Treasury Ops</t>
        </is>
      </c>
    </row>
    <row r="22" ht="20" customHeight="1">
      <c r="B22" s="36" t="inlineStr">
        <is>
          <t>Reconciliation Breaks</t>
        </is>
      </c>
      <c r="C22" s="16" t="inlineStr">
        <is>
          <t>0</t>
        </is>
      </c>
      <c r="D22" s="16" t="inlineStr">
        <is>
          <t>Any break, 2+ days running</t>
        </is>
      </c>
      <c r="E22" s="36" t="inlineStr">
        <is>
          <t>Finance / Treasury Ops</t>
        </is>
      </c>
    </row>
  </sheetData>
  <mergeCells count="12">
    <mergeCell ref="F4:G4"/>
    <mergeCell ref="J4:K4"/>
    <mergeCell ref="B3:J3"/>
    <mergeCell ref="B1:J2"/>
    <mergeCell ref="J5:K5"/>
    <mergeCell ref="B5:C5"/>
    <mergeCell ref="F5:G5"/>
    <mergeCell ref="D5:E5"/>
    <mergeCell ref="H5:I5"/>
    <mergeCell ref="D4:E4"/>
    <mergeCell ref="H4:I4"/>
    <mergeCell ref="B4:C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D2137"/>
    <outlinePr summaryBelow="1" summaryRight="1"/>
    <pageSetUpPr/>
  </sheetPr>
  <dimension ref="B1:N18"/>
  <sheetViews>
    <sheetView showGridLines="0" workbookViewId="0">
      <selection activeCell="A1" sqref="A1"/>
    </sheetView>
  </sheetViews>
  <sheetFormatPr baseColWidth="8" defaultRowHeight="15"/>
  <cols>
    <col width="2" customWidth="1" min="1" max="1"/>
  </cols>
  <sheetData>
    <row r="1" ht="22" customHeight="1">
      <c r="B1" s="22" t="inlineStr">
        <is>
          <t>AfriMoney Lending Suite — Origination, IFRS 9 &amp; Credit Risk</t>
        </is>
      </c>
    </row>
    <row r="2" ht="22" customHeight="1"/>
    <row r="3" ht="16" customHeight="1">
      <c r="B3" s="52" t="inlineStr">
        <is>
          <t>MKR: Mukuru Fast Loan (cash-backed micro-loans)  |  MMY: Mama Money Payday Advance (pilot, R200–R1000)  |  Both under AfriMoney brand</t>
        </is>
      </c>
    </row>
    <row r="4" ht="14" customHeight="1">
      <c r="C4" s="54" t="inlineStr">
        <is>
          <t>Total Applications</t>
        </is>
      </c>
      <c r="E4" s="55" t="inlineStr">
        <is>
          <t>Approved</t>
        </is>
      </c>
      <c r="G4" s="53" t="inlineStr">
        <is>
          <t>Default Rate</t>
        </is>
      </c>
      <c r="I4" s="62" t="inlineStr">
        <is>
          <t>Avg Loan Size</t>
        </is>
      </c>
      <c r="K4" s="55" t="inlineStr">
        <is>
          <t>IFRS 9 ECL Rate</t>
        </is>
      </c>
      <c r="M4" s="54" t="inlineStr">
        <is>
          <t>AUC Credit Model</t>
        </is>
      </c>
    </row>
    <row r="5" ht="32" customHeight="1">
      <c r="C5" s="57" t="inlineStr">
        <is>
          <t>215K</t>
        </is>
      </c>
      <c r="E5" s="58" t="inlineStr">
        <is>
          <t>65%</t>
        </is>
      </c>
      <c r="G5" s="56" t="inlineStr">
        <is>
          <t>11.2%</t>
        </is>
      </c>
      <c r="I5" s="63" t="inlineStr">
        <is>
          <t>R 3,890</t>
        </is>
      </c>
      <c r="K5" s="58" t="inlineStr">
        <is>
          <t>4.8%</t>
        </is>
      </c>
      <c r="M5" s="57" t="inlineStr">
        <is>
          <t>0.9475</t>
        </is>
      </c>
    </row>
    <row r="7" ht="32" customHeight="1">
      <c r="B7" s="15" t="inlineStr">
        <is>
          <t>Month</t>
        </is>
      </c>
      <c r="C7" s="15" t="inlineStr">
        <is>
          <t>Applications</t>
        </is>
      </c>
      <c r="D7" s="15" t="inlineStr">
        <is>
          <t>Approved</t>
        </is>
      </c>
      <c r="E7" s="15" t="inlineStr">
        <is>
          <t>Approval %</t>
        </is>
      </c>
      <c r="F7" s="15" t="inlineStr">
        <is>
          <t>Disbursed R M</t>
        </is>
      </c>
      <c r="G7" s="15" t="inlineStr">
        <is>
          <t>Defaults</t>
        </is>
      </c>
      <c r="H7" s="15" t="inlineStr">
        <is>
          <t>Default %</t>
        </is>
      </c>
      <c r="I7" s="15" t="inlineStr">
        <is>
          <t>ECL R M</t>
        </is>
      </c>
    </row>
    <row r="8" ht="20" customHeight="1">
      <c r="B8" s="16" t="inlineStr">
        <is>
          <t>Jan-26</t>
        </is>
      </c>
      <c r="C8" s="16" t="n">
        <v>3200</v>
      </c>
      <c r="D8" s="16" t="n">
        <v>2100</v>
      </c>
      <c r="E8" s="16" t="n">
        <v>65.59999999999999</v>
      </c>
      <c r="F8" s="16" t="n">
        <v>8.82</v>
      </c>
      <c r="G8" s="16" t="n">
        <v>96</v>
      </c>
      <c r="H8" s="16" t="n">
        <v>4.6</v>
      </c>
      <c r="I8" s="16" t="n">
        <v>0.42</v>
      </c>
    </row>
    <row r="9" ht="20" customHeight="1">
      <c r="B9" s="19" t="inlineStr">
        <is>
          <t>Feb-26</t>
        </is>
      </c>
      <c r="C9" s="19" t="n">
        <v>3400</v>
      </c>
      <c r="D9" s="19" t="n">
        <v>2210</v>
      </c>
      <c r="E9" s="19" t="n">
        <v>65</v>
      </c>
      <c r="F9" s="19" t="n">
        <v>9.279999999999999</v>
      </c>
      <c r="G9" s="19" t="n">
        <v>101</v>
      </c>
      <c r="H9" s="19" t="n">
        <v>4.6</v>
      </c>
      <c r="I9" s="19" t="n">
        <v>0.44</v>
      </c>
    </row>
    <row r="10" ht="20" customHeight="1">
      <c r="B10" s="16" t="inlineStr">
        <is>
          <t>Mar-26</t>
        </is>
      </c>
      <c r="C10" s="16" t="n">
        <v>3650</v>
      </c>
      <c r="D10" s="16" t="n">
        <v>2380</v>
      </c>
      <c r="E10" s="16" t="n">
        <v>65.2</v>
      </c>
      <c r="F10" s="16" t="n">
        <v>9.98</v>
      </c>
      <c r="G10" s="16" t="n">
        <v>109</v>
      </c>
      <c r="H10" s="16" t="n">
        <v>4.6</v>
      </c>
      <c r="I10" s="16" t="n">
        <v>0.47</v>
      </c>
    </row>
    <row r="11" ht="20" customHeight="1">
      <c r="B11" s="19" t="inlineStr">
        <is>
          <t>Apr-26</t>
        </is>
      </c>
      <c r="C11" s="19" t="n">
        <v>3500</v>
      </c>
      <c r="D11" s="19" t="n">
        <v>2275</v>
      </c>
      <c r="E11" s="19" t="n">
        <v>65</v>
      </c>
      <c r="F11" s="19" t="n">
        <v>9.56</v>
      </c>
      <c r="G11" s="19" t="n">
        <v>104</v>
      </c>
      <c r="H11" s="19" t="n">
        <v>4.6</v>
      </c>
      <c r="I11" s="19" t="n">
        <v>0.45</v>
      </c>
    </row>
    <row r="12" ht="20" customHeight="1">
      <c r="B12" s="16" t="inlineStr">
        <is>
          <t>May-26</t>
        </is>
      </c>
      <c r="C12" s="16" t="n">
        <v>3800</v>
      </c>
      <c r="D12" s="16" t="n">
        <v>2470</v>
      </c>
      <c r="E12" s="16" t="n">
        <v>65</v>
      </c>
      <c r="F12" s="16" t="n">
        <v>10.37</v>
      </c>
      <c r="G12" s="16" t="n">
        <v>113</v>
      </c>
      <c r="H12" s="16" t="n">
        <v>4.6</v>
      </c>
      <c r="I12" s="16" t="n">
        <v>0.49</v>
      </c>
    </row>
    <row r="13" ht="20" customHeight="1">
      <c r="B13" s="19" t="inlineStr">
        <is>
          <t>Jun-26</t>
        </is>
      </c>
      <c r="C13" s="19" t="n">
        <v>4100</v>
      </c>
      <c r="D13" s="19" t="n">
        <v>2665</v>
      </c>
      <c r="E13" s="19" t="n">
        <v>65</v>
      </c>
      <c r="F13" s="19" t="n">
        <v>11.19</v>
      </c>
      <c r="G13" s="19" t="n">
        <v>122</v>
      </c>
      <c r="H13" s="19" t="n">
        <v>4.6</v>
      </c>
      <c r="I13" s="19" t="n">
        <v>0.53</v>
      </c>
    </row>
    <row r="15" ht="18" customHeight="1">
      <c r="B15" s="59" t="inlineStr">
        <is>
          <t>Business Split — Lending Products</t>
        </is>
      </c>
    </row>
    <row r="16" ht="32" customHeight="1">
      <c r="B16" s="15" t="inlineStr">
        <is>
          <t>Business</t>
        </is>
      </c>
      <c r="C16" s="15" t="inlineStr">
        <is>
          <t>Product</t>
        </is>
      </c>
      <c r="D16" s="15" t="inlineStr">
        <is>
          <t>Applications</t>
        </is>
      </c>
      <c r="E16" s="15" t="inlineStr">
        <is>
          <t>Avg Loan R</t>
        </is>
      </c>
      <c r="F16" s="15" t="inlineStr">
        <is>
          <t>Default %</t>
        </is>
      </c>
      <c r="G16" s="15" t="inlineStr">
        <is>
          <t>Market</t>
        </is>
      </c>
    </row>
    <row r="17" ht="22" customHeight="1">
      <c r="B17" s="17" t="inlineStr">
        <is>
          <t>Mukuru (MKR)</t>
        </is>
      </c>
      <c r="C17" s="16" t="inlineStr">
        <is>
          <t>Mukuru Fast Loan</t>
        </is>
      </c>
      <c r="D17" s="16" t="inlineStr">
        <is>
          <t>200,000</t>
        </is>
      </c>
      <c r="E17" s="16" t="inlineStr">
        <is>
          <t>R 4,200</t>
        </is>
      </c>
      <c r="F17" s="16" t="inlineStr">
        <is>
          <t>11.2%</t>
        </is>
      </c>
      <c r="G17" s="16" t="inlineStr">
        <is>
          <t>13 corridors — app + USSD</t>
        </is>
      </c>
    </row>
    <row r="18" ht="22" customHeight="1">
      <c r="B18" s="24" t="inlineStr">
        <is>
          <t>Mama Money (MMY)</t>
        </is>
      </c>
      <c r="C18" s="19" t="inlineStr">
        <is>
          <t>MMY Payday Advance (pilot)</t>
        </is>
      </c>
      <c r="D18" s="19" t="inlineStr">
        <is>
          <t>15,000</t>
        </is>
      </c>
      <c r="E18" s="19" t="inlineStr">
        <is>
          <t>R 850</t>
        </is>
      </c>
      <c r="F18" s="19" t="inlineStr">
        <is>
          <t>9.8%</t>
        </is>
      </c>
      <c r="G18" s="19" t="inlineStr">
        <is>
          <t>ZA-LS, ZA-SZ, ZA-BW only</t>
        </is>
      </c>
    </row>
  </sheetData>
  <mergeCells count="14">
    <mergeCell ref="G4:H4"/>
    <mergeCell ref="E4:F4"/>
    <mergeCell ref="B3:J3"/>
    <mergeCell ref="I4:J4"/>
    <mergeCell ref="B1:J2"/>
    <mergeCell ref="C5:D5"/>
    <mergeCell ref="G5:H5"/>
    <mergeCell ref="E5:F5"/>
    <mergeCell ref="K5:L5"/>
    <mergeCell ref="I5:J5"/>
    <mergeCell ref="M5:N5"/>
    <mergeCell ref="K4:L4"/>
    <mergeCell ref="M4:N4"/>
    <mergeCell ref="C4:D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0C97A"/>
    <outlinePr summaryBelow="1" summaryRight="1"/>
    <pageSetUpPr/>
  </sheetPr>
  <dimension ref="B1:J10"/>
  <sheetViews>
    <sheetView showGridLines="0" workbookViewId="0">
      <selection activeCell="A1" sqref="A1"/>
    </sheetView>
  </sheetViews>
  <sheetFormatPr baseColWidth="8" defaultRowHeight="15"/>
  <cols>
    <col width="2" customWidth="1" min="1" max="1"/>
  </cols>
  <sheetData>
    <row r="1" ht="22" customHeight="1">
      <c r="B1" s="64" t="inlineStr">
        <is>
          <t>Wallet &amp; Card Product Analytics</t>
        </is>
      </c>
    </row>
    <row r="2" ht="22" customHeight="1"/>
    <row r="4" ht="32" customHeight="1">
      <c r="B4" s="65" t="inlineStr">
        <is>
          <t>Month</t>
        </is>
      </c>
      <c r="C4" s="65" t="inlineStr">
        <is>
          <t>Wallet Active</t>
        </is>
      </c>
      <c r="D4" s="65" t="inlineStr">
        <is>
          <t>Cash In R M</t>
        </is>
      </c>
      <c r="E4" s="65" t="inlineStr">
        <is>
          <t>Cash Out R M</t>
        </is>
      </c>
      <c r="F4" s="65" t="inlineStr">
        <is>
          <t>Card Txns</t>
        </is>
      </c>
      <c r="G4" s="65" t="inlineStr">
        <is>
          <t>Card Spend R M</t>
        </is>
      </c>
      <c r="H4" s="65" t="inlineStr">
        <is>
          <t>Card Approval %</t>
        </is>
      </c>
    </row>
    <row r="5" ht="20" customHeight="1">
      <c r="B5" s="16" t="inlineStr">
        <is>
          <t>Jan-26</t>
        </is>
      </c>
      <c r="C5" s="16" t="n">
        <v>182000</v>
      </c>
      <c r="D5" s="16" t="n">
        <v>245</v>
      </c>
      <c r="E5" s="16" t="n">
        <v>218</v>
      </c>
      <c r="F5" s="16" t="n">
        <v>310000</v>
      </c>
      <c r="G5" s="16" t="n">
        <v>42.1</v>
      </c>
      <c r="H5" s="16" t="n">
        <v>87.2</v>
      </c>
    </row>
    <row r="6" ht="20" customHeight="1">
      <c r="B6" s="19" t="inlineStr">
        <is>
          <t>Feb-26</t>
        </is>
      </c>
      <c r="C6" s="19" t="n">
        <v>188000</v>
      </c>
      <c r="D6" s="19" t="n">
        <v>258</v>
      </c>
      <c r="E6" s="19" t="n">
        <v>231</v>
      </c>
      <c r="F6" s="19" t="n">
        <v>324000</v>
      </c>
      <c r="G6" s="19" t="n">
        <v>44.4</v>
      </c>
      <c r="H6" s="19" t="n">
        <v>87.8</v>
      </c>
    </row>
    <row r="7" ht="20" customHeight="1">
      <c r="B7" s="16" t="inlineStr">
        <is>
          <t>Mar-26</t>
        </is>
      </c>
      <c r="C7" s="16" t="n">
        <v>196000</v>
      </c>
      <c r="D7" s="16" t="n">
        <v>271</v>
      </c>
      <c r="E7" s="16" t="n">
        <v>244</v>
      </c>
      <c r="F7" s="16" t="n">
        <v>341000</v>
      </c>
      <c r="G7" s="16" t="n">
        <v>46.8</v>
      </c>
      <c r="H7" s="16" t="n">
        <v>88.09999999999999</v>
      </c>
    </row>
    <row r="8" ht="20" customHeight="1">
      <c r="B8" s="19" t="inlineStr">
        <is>
          <t>Apr-26</t>
        </is>
      </c>
      <c r="C8" s="19" t="n">
        <v>204000</v>
      </c>
      <c r="D8" s="19" t="n">
        <v>285</v>
      </c>
      <c r="E8" s="19" t="n">
        <v>256</v>
      </c>
      <c r="F8" s="19" t="n">
        <v>358000</v>
      </c>
      <c r="G8" s="19" t="n">
        <v>49.2</v>
      </c>
      <c r="H8" s="19" t="n">
        <v>88.40000000000001</v>
      </c>
    </row>
    <row r="9" ht="20" customHeight="1">
      <c r="B9" s="16" t="inlineStr">
        <is>
          <t>May-26</t>
        </is>
      </c>
      <c r="C9" s="16" t="n">
        <v>213000</v>
      </c>
      <c r="D9" s="16" t="n">
        <v>299</v>
      </c>
      <c r="E9" s="16" t="n">
        <v>268</v>
      </c>
      <c r="F9" s="16" t="n">
        <v>376000</v>
      </c>
      <c r="G9" s="16" t="n">
        <v>51.7</v>
      </c>
      <c r="H9" s="16" t="n">
        <v>88.8</v>
      </c>
    </row>
    <row r="10" ht="20" customHeight="1">
      <c r="B10" s="19" t="inlineStr">
        <is>
          <t>Jun-26</t>
        </is>
      </c>
      <c r="C10" s="19" t="n">
        <v>222000</v>
      </c>
      <c r="D10" s="19" t="n">
        <v>314</v>
      </c>
      <c r="E10" s="19" t="n">
        <v>281</v>
      </c>
      <c r="F10" s="19" t="n">
        <v>394000</v>
      </c>
      <c r="G10" s="19" t="n">
        <v>54.2</v>
      </c>
      <c r="H10" s="19" t="n">
        <v>89.09999999999999</v>
      </c>
    </row>
  </sheetData>
  <mergeCells count="1">
    <mergeCell ref="B1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D2137"/>
    <outlinePr summaryBelow="1" summaryRight="1"/>
    <pageSetUpPr/>
  </sheetPr>
  <dimension ref="B1:K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3" max="3"/>
    <col width="40" customWidth="1" min="7" max="7"/>
  </cols>
  <sheetData>
    <row r="1" ht="22" customHeight="1">
      <c r="B1" s="22" t="inlineStr">
        <is>
          <t>AfriMoney — Snowflake Data Model (Bronze→Silver→Gold)</t>
        </is>
      </c>
    </row>
    <row r="2" ht="22" customHeight="1"/>
    <row r="4" ht="32" customHeight="1">
      <c r="B4" s="15" t="inlineStr">
        <is>
          <t>Schema</t>
        </is>
      </c>
      <c r="C4" s="15" t="inlineStr">
        <is>
          <t>Table Name</t>
        </is>
      </c>
      <c r="D4" s="15" t="inlineStr">
        <is>
          <t>Row Count</t>
        </is>
      </c>
      <c r="E4" s="15" t="inlineStr">
        <is>
          <t>Type</t>
        </is>
      </c>
      <c r="F4" s="15" t="inlineStr">
        <is>
          <t>Key Column</t>
        </is>
      </c>
      <c r="G4" s="15" t="inlineStr">
        <is>
          <t>Key Fields</t>
        </is>
      </c>
    </row>
    <row r="5" ht="20" customHeight="1">
      <c r="B5" s="18" t="inlineStr">
        <is>
          <t>BRONZE</t>
        </is>
      </c>
      <c r="C5" s="66" t="inlineStr">
        <is>
          <t>dim_customer</t>
        </is>
      </c>
      <c r="D5" s="16" t="inlineStr">
        <is>
          <t>500,000</t>
        </is>
      </c>
      <c r="E5" s="16" t="inlineStr">
        <is>
          <t>SCD2</t>
        </is>
      </c>
      <c r="F5" s="16" t="inlineStr">
        <is>
          <t>customer_sk</t>
        </is>
      </c>
      <c r="G5" s="36" t="inlineStr">
        <is>
          <t>customer_id, kyc_level, risk_band, status</t>
        </is>
      </c>
    </row>
    <row r="6" ht="20" customHeight="1">
      <c r="B6" s="21" t="inlineStr">
        <is>
          <t>BRONZE</t>
        </is>
      </c>
      <c r="C6" s="67" t="inlineStr">
        <is>
          <t>dim_recipient</t>
        </is>
      </c>
      <c r="D6" s="19" t="inlineStr">
        <is>
          <t>1,000,000</t>
        </is>
      </c>
      <c r="E6" s="19" t="inlineStr">
        <is>
          <t>Dimension</t>
        </is>
      </c>
      <c r="F6" s="19" t="inlineStr">
        <is>
          <t>recipient_id</t>
        </is>
      </c>
      <c r="G6" s="37" t="inlineStr">
        <is>
          <t>name_hash, country, payout_method</t>
        </is>
      </c>
    </row>
    <row r="7" ht="20" customHeight="1">
      <c r="B7" s="18" t="inlineStr">
        <is>
          <t>BRONZE</t>
        </is>
      </c>
      <c r="C7" s="66" t="inlineStr">
        <is>
          <t>fact_remittance_transfer</t>
        </is>
      </c>
      <c r="D7" s="16" t="inlineStr">
        <is>
          <t>5,000,000</t>
        </is>
      </c>
      <c r="E7" s="16" t="inlineStr">
        <is>
          <t>Fact</t>
        </is>
      </c>
      <c r="F7" s="16" t="inlineStr">
        <is>
          <t>transfer_id</t>
        </is>
      </c>
      <c r="G7" s="36" t="inlineStr">
        <is>
          <t>send_amt_zar, corridor, channel, status</t>
        </is>
      </c>
    </row>
    <row r="8" ht="20" customHeight="1">
      <c r="B8" s="21" t="inlineStr">
        <is>
          <t>BRONZE</t>
        </is>
      </c>
      <c r="C8" s="67" t="inlineStr">
        <is>
          <t>fact_wallet_ledger</t>
        </is>
      </c>
      <c r="D8" s="19" t="inlineStr">
        <is>
          <t>~10,000,000</t>
        </is>
      </c>
      <c r="E8" s="19" t="inlineStr">
        <is>
          <t>Fact (double-entry)</t>
        </is>
      </c>
      <c r="F8" s="19" t="inlineStr">
        <is>
          <t>ledger_id</t>
        </is>
      </c>
      <c r="G8" s="37" t="inlineStr">
        <is>
          <t>customer_id, direction, amount, type</t>
        </is>
      </c>
    </row>
    <row r="9" ht="20" customHeight="1">
      <c r="B9" s="18" t="inlineStr">
        <is>
          <t>BRONZE</t>
        </is>
      </c>
      <c r="C9" s="66" t="inlineStr">
        <is>
          <t>fact_card_transaction</t>
        </is>
      </c>
      <c r="D9" s="16" t="inlineStr">
        <is>
          <t>~3,000,000</t>
        </is>
      </c>
      <c r="E9" s="16" t="inlineStr">
        <is>
          <t>Fact</t>
        </is>
      </c>
      <c r="F9" s="16" t="inlineStr">
        <is>
          <t>txn_id</t>
        </is>
      </c>
      <c r="G9" s="36" t="inlineStr">
        <is>
          <t>amount, status, merchant, fraud_flag</t>
        </is>
      </c>
    </row>
    <row r="10" ht="20" customHeight="1">
      <c r="B10" s="21" t="inlineStr">
        <is>
          <t>BRONZE</t>
        </is>
      </c>
      <c r="C10" s="67" t="inlineStr">
        <is>
          <t>fact_loan_application</t>
        </is>
      </c>
      <c r="D10" s="19" t="inlineStr">
        <is>
          <t>200,000</t>
        </is>
      </c>
      <c r="E10" s="19" t="inlineStr">
        <is>
          <t>Fact</t>
        </is>
      </c>
      <c r="F10" s="19" t="inlineStr">
        <is>
          <t>loan_id</t>
        </is>
      </c>
      <c r="G10" s="37" t="inlineStr">
        <is>
          <t>principal, decision, dpd, pd_score</t>
        </is>
      </c>
    </row>
    <row r="11" ht="20" customHeight="1">
      <c r="B11" s="18" t="inlineStr">
        <is>
          <t>BRONZE</t>
        </is>
      </c>
      <c r="C11" s="66" t="inlineStr">
        <is>
          <t>fact_fx_rate</t>
        </is>
      </c>
      <c r="D11" s="16" t="inlineStr">
        <is>
          <t>~95,000</t>
        </is>
      </c>
      <c r="E11" s="16" t="inlineStr">
        <is>
          <t>Fact</t>
        </is>
      </c>
      <c r="F11" s="16" t="inlineStr">
        <is>
          <t>rate_id</t>
        </is>
      </c>
      <c r="G11" s="36" t="inlineStr">
        <is>
          <t>corridor, interbank, applied, spread_pct</t>
        </is>
      </c>
    </row>
    <row r="12" ht="20" customHeight="1">
      <c r="B12" s="21" t="inlineStr">
        <is>
          <t>BRONZE</t>
        </is>
      </c>
      <c r="C12" s="67" t="inlineStr">
        <is>
          <t>fact_insurance_policy</t>
        </is>
      </c>
      <c r="D12" s="19" t="inlineStr">
        <is>
          <t>40,000</t>
        </is>
      </c>
      <c r="E12" s="19" t="inlineStr">
        <is>
          <t>Fact</t>
        </is>
      </c>
      <c r="F12" s="19" t="inlineStr">
        <is>
          <t>policy_id</t>
        </is>
      </c>
      <c r="G12" s="37" t="inlineStr">
        <is>
          <t>product, premium, status</t>
        </is>
      </c>
    </row>
    <row r="13" ht="20" customHeight="1">
      <c r="B13" s="18" t="inlineStr">
        <is>
          <t>BRONZE</t>
        </is>
      </c>
      <c r="C13" s="66" t="inlineStr">
        <is>
          <t>fact_usd_savings</t>
        </is>
      </c>
      <c r="D13" s="16" t="inlineStr">
        <is>
          <t>50,000</t>
        </is>
      </c>
      <c r="E13" s="16" t="inlineStr">
        <is>
          <t>Fact</t>
        </is>
      </c>
      <c r="F13" s="16" t="inlineStr">
        <is>
          <t>account_id</t>
        </is>
      </c>
      <c r="G13" s="36" t="inlineStr">
        <is>
          <t>balance_zar, usdc_balance, status</t>
        </is>
      </c>
    </row>
    <row r="14" ht="20" customHeight="1">
      <c r="B14" s="25" t="inlineStr">
        <is>
          <t>SILVER</t>
        </is>
      </c>
      <c r="C14" s="67" t="inlineStr">
        <is>
          <t>stg_transfers</t>
        </is>
      </c>
      <c r="D14" s="19" t="inlineStr">
        <is>
          <t>view</t>
        </is>
      </c>
      <c r="E14" s="19" t="inlineStr">
        <is>
          <t>dbt view</t>
        </is>
      </c>
      <c r="F14" s="19" t="inlineStr">
        <is>
          <t>—</t>
        </is>
      </c>
      <c r="G14" s="37" t="inlineStr">
        <is>
          <t>Cleaned transfers + derived fields</t>
        </is>
      </c>
    </row>
    <row r="15" ht="20" customHeight="1">
      <c r="B15" s="26" t="inlineStr">
        <is>
          <t>SILVER</t>
        </is>
      </c>
      <c r="C15" s="66" t="inlineStr">
        <is>
          <t>int_transfer_profitability</t>
        </is>
      </c>
      <c r="D15" s="16" t="inlineStr">
        <is>
          <t>~5M</t>
        </is>
      </c>
      <c r="E15" s="16" t="inlineStr">
        <is>
          <t>dbt table</t>
        </is>
      </c>
      <c r="F15" s="16" t="inlineStr">
        <is>
          <t>—</t>
        </is>
      </c>
      <c r="G15" s="36" t="inlineStr">
        <is>
          <t>Transfers + FX join + margin tiers</t>
        </is>
      </c>
    </row>
    <row r="16" ht="20" customHeight="1">
      <c r="B16" s="25" t="inlineStr">
        <is>
          <t>SILVER</t>
        </is>
      </c>
      <c r="C16" s="67" t="inlineStr">
        <is>
          <t>int_customer_transfer_stats</t>
        </is>
      </c>
      <c r="D16" s="19" t="inlineStr">
        <is>
          <t>~500K</t>
        </is>
      </c>
      <c r="E16" s="19" t="inlineStr">
        <is>
          <t>dbt table</t>
        </is>
      </c>
      <c r="F16" s="19" t="inlineStr">
        <is>
          <t>—</t>
        </is>
      </c>
      <c r="G16" s="37" t="inlineStr">
        <is>
          <t>Aggregated customer behaviour</t>
        </is>
      </c>
    </row>
    <row r="17" ht="20" customHeight="1">
      <c r="B17" s="26" t="inlineStr">
        <is>
          <t>SILVER</t>
        </is>
      </c>
      <c r="C17" s="66" t="inlineStr">
        <is>
          <t>int_payment_reconciliation</t>
        </is>
      </c>
      <c r="D17" s="16" t="inlineStr">
        <is>
          <t>~5M</t>
        </is>
      </c>
      <c r="E17" s="16" t="inlineStr">
        <is>
          <t>dbt table</t>
        </is>
      </c>
      <c r="F17" s="16" t="inlineStr">
        <is>
          <t>transfer_id</t>
        </is>
      </c>
      <c r="G17" s="36" t="inlineStr">
        <is>
          <t>Collected vs committed, per transfer</t>
        </is>
      </c>
    </row>
    <row r="18" ht="20" customHeight="1">
      <c r="B18" s="25" t="inlineStr">
        <is>
          <t>SILVER</t>
        </is>
      </c>
      <c r="C18" s="67" t="inlineStr">
        <is>
          <t>int_payout_reconciliation</t>
        </is>
      </c>
      <c r="D18" s="19" t="inlineStr">
        <is>
          <t>~4.4M</t>
        </is>
      </c>
      <c r="E18" s="19" t="inlineStr">
        <is>
          <t>dbt table</t>
        </is>
      </c>
      <c r="F18" s="19" t="inlineStr">
        <is>
          <t>transfer_id</t>
        </is>
      </c>
      <c r="G18" s="37" t="inlineStr">
        <is>
          <t>Disbursed vs committed, per transfer</t>
        </is>
      </c>
    </row>
    <row r="19" ht="20" customHeight="1">
      <c r="B19" s="23" t="inlineStr">
        <is>
          <t>GOLD</t>
        </is>
      </c>
      <c r="C19" s="66" t="inlineStr">
        <is>
          <t>mart_remittance</t>
        </is>
      </c>
      <c r="D19" s="16" t="inlineStr">
        <is>
          <t>~50K</t>
        </is>
      </c>
      <c r="E19" s="16" t="inlineStr">
        <is>
          <t>dbt table</t>
        </is>
      </c>
      <c r="F19" s="16" t="inlineStr">
        <is>
          <t>—</t>
        </is>
      </c>
      <c r="G19" s="36" t="inlineStr">
        <is>
          <t>Monthly corridor KPIs + revenue</t>
        </is>
      </c>
    </row>
    <row r="20" ht="20" customHeight="1">
      <c r="B20" s="24" t="inlineStr">
        <is>
          <t>GOLD</t>
        </is>
      </c>
      <c r="C20" s="67" t="inlineStr">
        <is>
          <t>mart_customer_360</t>
        </is>
      </c>
      <c r="D20" s="19" t="inlineStr">
        <is>
          <t>~500K</t>
        </is>
      </c>
      <c r="E20" s="19" t="inlineStr">
        <is>
          <t>dbt table</t>
        </is>
      </c>
      <c r="F20" s="19" t="inlineStr">
        <is>
          <t>—</t>
        </is>
      </c>
      <c r="G20" s="37" t="inlineStr">
        <is>
          <t>One row per customer + LTV/engagement</t>
        </is>
      </c>
    </row>
    <row r="21" ht="20" customHeight="1">
      <c r="B21" s="23" t="inlineStr">
        <is>
          <t>GOLD</t>
        </is>
      </c>
      <c r="C21" s="66" t="inlineStr">
        <is>
          <t>mart_fx_profitability</t>
        </is>
      </c>
      <c r="D21" s="16" t="inlineStr">
        <is>
          <t>~200</t>
        </is>
      </c>
      <c r="E21" s="16" t="inlineStr">
        <is>
          <t>dbt table</t>
        </is>
      </c>
      <c r="F21" s="16" t="inlineStr">
        <is>
          <t>—</t>
        </is>
      </c>
      <c r="G21" s="36" t="inlineStr">
        <is>
          <t>Corridor FX margin by month</t>
        </is>
      </c>
    </row>
    <row r="22" ht="20" customHeight="1">
      <c r="B22" s="24" t="inlineStr">
        <is>
          <t>GOLD</t>
        </is>
      </c>
      <c r="C22" s="67" t="inlineStr">
        <is>
          <t>mart_risk_compliance</t>
        </is>
      </c>
      <c r="D22" s="19" t="inlineStr">
        <is>
          <t>~12</t>
        </is>
      </c>
      <c r="E22" s="19" t="inlineStr">
        <is>
          <t>dbt table</t>
        </is>
      </c>
      <c r="F22" s="19" t="inlineStr">
        <is>
          <t>—</t>
        </is>
      </c>
      <c r="G22" s="37" t="inlineStr">
        <is>
          <t>Monthly risk RAG status KPIs</t>
        </is>
      </c>
    </row>
    <row r="23" ht="20" customHeight="1">
      <c r="B23" s="23" t="inlineStr">
        <is>
          <t>GOLD</t>
        </is>
      </c>
      <c r="C23" s="66" t="inlineStr">
        <is>
          <t>mart_loans_mukuru</t>
        </is>
      </c>
      <c r="D23" s="16" t="inlineStr">
        <is>
          <t>~1K</t>
        </is>
      </c>
      <c r="E23" s="16" t="inlineStr">
        <is>
          <t>dbt table</t>
        </is>
      </c>
      <c r="F23" s="16" t="inlineStr">
        <is>
          <t>—</t>
        </is>
      </c>
      <c r="G23" s="36" t="inlineStr">
        <is>
          <t>Loan origination + ECL + repayment</t>
        </is>
      </c>
    </row>
    <row r="24" ht="20" customHeight="1">
      <c r="B24" s="24" t="inlineStr">
        <is>
          <t>GOLD</t>
        </is>
      </c>
      <c r="C24" s="67" t="inlineStr">
        <is>
          <t>mart_reconciliation</t>
        </is>
      </c>
      <c r="D24" s="19" t="inlineStr">
        <is>
          <t>~200</t>
        </is>
      </c>
      <c r="E24" s="19" t="inlineStr">
        <is>
          <t>dbt table</t>
        </is>
      </c>
      <c r="F24" s="19" t="inlineStr">
        <is>
          <t>—</t>
        </is>
      </c>
      <c r="G24" s="37" t="inlineStr">
        <is>
          <t>Monthly collection/settlement completeness</t>
        </is>
      </c>
    </row>
    <row r="25" ht="20" customHeight="1">
      <c r="B25" s="68" t="inlineStr">
        <is>
          <t>ML_DB</t>
        </is>
      </c>
      <c r="C25" s="66" t="inlineStr">
        <is>
          <t>FRAUD_FEATURES</t>
        </is>
      </c>
      <c r="D25" s="16" t="inlineStr">
        <is>
          <t>~200K</t>
        </is>
      </c>
      <c r="E25" s="16" t="inlineStr">
        <is>
          <t>Feature table</t>
        </is>
      </c>
      <c r="F25" s="16" t="inlineStr">
        <is>
          <t>—</t>
        </is>
      </c>
      <c r="G25" s="36" t="inlineStr">
        <is>
          <t>15 fraud features refreshed daily</t>
        </is>
      </c>
    </row>
    <row r="26" ht="20" customHeight="1">
      <c r="B26" s="69" t="inlineStr">
        <is>
          <t>ML_DB</t>
        </is>
      </c>
      <c r="C26" s="67" t="inlineStr">
        <is>
          <t>CHURN_FEATURES</t>
        </is>
      </c>
      <c r="D26" s="19" t="inlineStr">
        <is>
          <t>~500K</t>
        </is>
      </c>
      <c r="E26" s="19" t="inlineStr">
        <is>
          <t>Feature table</t>
        </is>
      </c>
      <c r="F26" s="19" t="inlineStr">
        <is>
          <t>—</t>
        </is>
      </c>
      <c r="G26" s="37" t="inlineStr">
        <is>
          <t>21 churn features refreshed weekly</t>
        </is>
      </c>
    </row>
  </sheetData>
  <mergeCells count="1">
    <mergeCell ref="B1:K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0C97A"/>
    <outlinePr summaryBelow="1" summaryRight="1"/>
    <pageSetUpPr/>
  </sheetPr>
  <dimension ref="B2:H14"/>
  <sheetViews>
    <sheetView showGridLines="0" workbookViewId="0">
      <selection activeCell="A1" sqref="A1"/>
    </sheetView>
  </sheetViews>
  <sheetFormatPr baseColWidth="8" defaultRowHeight="15"/>
  <cols>
    <col width="18" customWidth="1" min="2" max="2"/>
    <col width="55" customWidth="1" min="3" max="3"/>
  </cols>
  <sheetData>
    <row r="2">
      <c r="B2" s="70" t="inlineStr">
        <is>
          <t>AfriMoney Intelligence Platform</t>
        </is>
      </c>
    </row>
    <row r="3"/>
    <row r="5" ht="22" customHeight="1">
      <c r="B5" s="71" t="inlineStr">
        <is>
          <t>Platform</t>
        </is>
      </c>
      <c r="C5" s="72" t="inlineStr">
        <is>
          <t>AfriMoney Intelligence Platform — African Remittance Analytics</t>
        </is>
      </c>
      <c r="D5" s="73" t="n"/>
      <c r="E5" s="73" t="n"/>
      <c r="F5" s="73" t="n"/>
      <c r="G5" s="73" t="n"/>
      <c r="H5" s="74" t="n"/>
    </row>
    <row r="6" ht="22" customHeight="1">
      <c r="B6" s="71" t="inlineStr">
        <is>
          <t>Author</t>
        </is>
      </c>
      <c r="C6" s="72" t="inlineStr">
        <is>
          <t>Anthony Apollis</t>
        </is>
      </c>
      <c r="D6" s="73" t="n"/>
      <c r="E6" s="73" t="n"/>
      <c r="F6" s="73" t="n"/>
      <c r="G6" s="73" t="n"/>
      <c r="H6" s="74" t="n"/>
    </row>
    <row r="7" ht="22" customHeight="1">
      <c r="B7" s="71" t="inlineStr">
        <is>
          <t>Date</t>
        </is>
      </c>
      <c r="C7" s="72" t="inlineStr">
        <is>
          <t>2026-08-19</t>
        </is>
      </c>
      <c r="D7" s="73" t="n"/>
      <c r="E7" s="73" t="n"/>
      <c r="F7" s="73" t="n"/>
      <c r="G7" s="73" t="n"/>
      <c r="H7" s="74" t="n"/>
    </row>
    <row r="8" ht="22" customHeight="1">
      <c r="B8" s="71" t="inlineStr">
        <is>
          <t>Tech Stack</t>
        </is>
      </c>
      <c r="C8" s="72" t="inlineStr">
        <is>
          <t>Snowflake · dbt · Snowpark ML · Python · Power BI</t>
        </is>
      </c>
      <c r="D8" s="73" t="n"/>
      <c r="E8" s="73" t="n"/>
      <c r="F8" s="73" t="n"/>
      <c r="G8" s="73" t="n"/>
      <c r="H8" s="74" t="n"/>
    </row>
    <row r="9" ht="22" customHeight="1">
      <c r="B9" s="71" t="inlineStr">
        <is>
          <t>Architecture</t>
        </is>
      </c>
      <c r="C9" s="72" t="inlineStr">
        <is>
          <t>Bronze → Silver → Gold (Medallion)</t>
        </is>
      </c>
      <c r="D9" s="73" t="n"/>
      <c r="E9" s="73" t="n"/>
      <c r="F9" s="73" t="n"/>
      <c r="G9" s="73" t="n"/>
      <c r="H9" s="74" t="n"/>
    </row>
    <row r="10" ht="22" customHeight="1">
      <c r="B10" s="71" t="inlineStr">
        <is>
          <t>Data Volume</t>
        </is>
      </c>
      <c r="C10" s="72" t="inlineStr">
        <is>
          <t>30M+ rows across 9 Bronze + Silver + Gold layers</t>
        </is>
      </c>
      <c r="D10" s="73" t="n"/>
      <c r="E10" s="73" t="n"/>
      <c r="F10" s="73" t="n"/>
      <c r="G10" s="73" t="n"/>
      <c r="H10" s="74" t="n"/>
    </row>
    <row r="11" ht="22" customHeight="1">
      <c r="B11" s="71" t="inlineStr">
        <is>
          <t>ML Models</t>
        </is>
      </c>
      <c r="C11" s="72" t="inlineStr">
        <is>
          <t>Fraud Detection (AUC 0.9582) · Churn (0.9905) · Credit PD (0.9475)</t>
        </is>
      </c>
      <c r="D11" s="73" t="n"/>
      <c r="E11" s="73" t="n"/>
      <c r="F11" s="73" t="n"/>
      <c r="G11" s="73" t="n"/>
      <c r="H11" s="74" t="n"/>
    </row>
    <row r="12" ht="22" customHeight="1">
      <c r="B12" s="71" t="inlineStr">
        <is>
          <t>dbt Models</t>
        </is>
      </c>
      <c r="C12" s="72" t="inlineStr">
        <is>
          <t>13 models · 41 tests passing (incl. payment &amp; settlement reconciliation)</t>
        </is>
      </c>
      <c r="D12" s="73" t="n"/>
      <c r="E12" s="73" t="n"/>
      <c r="F12" s="73" t="n"/>
      <c r="G12" s="73" t="n"/>
      <c r="H12" s="74" t="n"/>
    </row>
    <row r="13" ht="22" customHeight="1">
      <c r="B13" s="71" t="inlineStr">
        <is>
          <t>Corridors</t>
        </is>
      </c>
      <c r="C13" s="72" t="inlineStr">
        <is>
          <t>17 active SA-Africa remittance corridors</t>
        </is>
      </c>
      <c r="D13" s="73" t="n"/>
      <c r="E13" s="73" t="n"/>
      <c r="F13" s="73" t="n"/>
      <c r="G13" s="73" t="n"/>
      <c r="H13" s="74" t="n"/>
    </row>
    <row r="14" ht="22" customHeight="1">
      <c r="B14" s="71" t="inlineStr">
        <is>
          <t>Disclaimer</t>
        </is>
      </c>
      <c r="C14" s="72" t="inlineStr">
        <is>
          <t>Synthetic data only. No real customer data used.</t>
        </is>
      </c>
      <c r="D14" s="73" t="n"/>
      <c r="E14" s="73" t="n"/>
      <c r="F14" s="73" t="n"/>
      <c r="G14" s="73" t="n"/>
      <c r="H14" s="74" t="n"/>
    </row>
  </sheetData>
  <mergeCells count="11">
    <mergeCell ref="C11:H11"/>
    <mergeCell ref="C6:H6"/>
    <mergeCell ref="C10:H10"/>
    <mergeCell ref="C14:H14"/>
    <mergeCell ref="C5:H5"/>
    <mergeCell ref="C13:H13"/>
    <mergeCell ref="C9:H9"/>
    <mergeCell ref="C8:H8"/>
    <mergeCell ref="B2:H3"/>
    <mergeCell ref="C12:H12"/>
    <mergeCell ref="C7:H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2026-08-19T20:53:08Z</dcterms:created>
  <dcterms:modified xmlns:dcterms="http://purl.org/dc/terms/" xmlns:xsi="http://www.w3.org/2001/XMLSchema-instance" xsi:type="dcterms:W3CDTF">2026-08-19T20:53:09Z</dcterms:modified>
</cp:coreProperties>
</file>