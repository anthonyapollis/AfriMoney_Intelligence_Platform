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drawings/drawing3.xml" ContentType="application/vnd.openxmlformats-officedocument.drawing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drawings/drawing4.xml" ContentType="application/vnd.openxmlformats-officedocument.drawing+xml"/>
  <Override PartName="/xl/charts/chart7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Anthony.DESKTOP-ES5HL78\Documents\Fintech_Intelligence_Platform\excel\"/>
    </mc:Choice>
  </mc:AlternateContent>
  <bookViews>
    <workbookView xWindow="0" yWindow="0" windowWidth="20490" windowHeight="7755" firstSheet="5" activeTab="9"/>
  </bookViews>
  <sheets>
    <sheet name="Executive Dashboard" sheetId="1" r:id="rId1"/>
    <sheet name="Corridor Analysis" sheetId="2" r:id="rId2"/>
    <sheet name="ML Model Results" sheetId="3" r:id="rId3"/>
    <sheet name="Customer 360" sheetId="4" r:id="rId4"/>
    <sheet name="FX &amp; Profitability" sheetId="5" r:id="rId5"/>
    <sheet name="Risk &amp; Compliance" sheetId="6" r:id="rId6"/>
    <sheet name="AfriMoney Lending" sheetId="7" r:id="rId7"/>
    <sheet name="Wallet &amp; Card" sheetId="8" r:id="rId8"/>
    <sheet name="Data Model" sheetId="9" r:id="rId9"/>
    <sheet name="About" sheetId="10" r:id="rId10"/>
  </sheets>
  <calcPr calcId="0"/>
</workbook>
</file>

<file path=xl/sharedStrings.xml><?xml version="1.0" encoding="utf-8"?>
<sst xmlns="http://schemas.openxmlformats.org/spreadsheetml/2006/main" count="537" uniqueCount="386">
  <si>
    <t>AfriMoney Intelligence Platform — Executive Dashboard</t>
  </si>
  <si>
    <t>Snowflake · dbt · Snowpark ML  |  Reporting Period: 2025–2026  |  Generated: 2026-06-29</t>
  </si>
  <si>
    <t>Annual Volume</t>
  </si>
  <si>
    <t>Transfer Orders</t>
  </si>
  <si>
    <t>Active Corridors</t>
  </si>
  <si>
    <t>Customers</t>
  </si>
  <si>
    <t>Success Rate</t>
  </si>
  <si>
    <t>Fraud Rate</t>
  </si>
  <si>
    <t>KYC Completion</t>
  </si>
  <si>
    <t>Net Revenue</t>
  </si>
  <si>
    <t>R 78B</t>
  </si>
  <si>
    <t>5M+</t>
  </si>
  <si>
    <t>17</t>
  </si>
  <si>
    <t>500K</t>
  </si>
  <si>
    <t>78.2%</t>
  </si>
  <si>
    <t>3.2 bps</t>
  </si>
  <si>
    <t>82%</t>
  </si>
  <si>
    <t>R 18B</t>
  </si>
  <si>
    <t>Monthly Trend Data</t>
  </si>
  <si>
    <t>Month</t>
  </si>
  <si>
    <t>MKR Vol (R B)</t>
  </si>
  <si>
    <t>MMY Vol (R B)</t>
  </si>
  <si>
    <t>Total Vol (R B)</t>
  </si>
  <si>
    <t>MKR Rev (R B)</t>
  </si>
  <si>
    <t>MMY Rev (R B)</t>
  </si>
  <si>
    <t>Success Rate %</t>
  </si>
  <si>
    <t>Fraud Rate bps</t>
  </si>
  <si>
    <t>Jan-26</t>
  </si>
  <si>
    <t>Feb-26</t>
  </si>
  <si>
    <t>Mar-26</t>
  </si>
  <si>
    <t>Apr-26</t>
  </si>
  <si>
    <t>May-26</t>
  </si>
  <si>
    <t>Jun-26</t>
  </si>
  <si>
    <t>Corridor Performance Analysis — All 17 Routes</t>
  </si>
  <si>
    <t>Corridor</t>
  </si>
  <si>
    <t>Country</t>
  </si>
  <si>
    <t>ML Cluster</t>
  </si>
  <si>
    <t>Business</t>
  </si>
  <si>
    <t>Vol (R B)</t>
  </si>
  <si>
    <t>Transfers</t>
  </si>
  <si>
    <t>Fraud bps</t>
  </si>
  <si>
    <t>Success %</t>
  </si>
  <si>
    <t>FX Spread %</t>
  </si>
  <si>
    <t>Avg Send R</t>
  </si>
  <si>
    <t>ZA-ZW</t>
  </si>
  <si>
    <t>Zimbabwe</t>
  </si>
  <si>
    <t>High-Volume Core</t>
  </si>
  <si>
    <t>MKR+MMY</t>
  </si>
  <si>
    <t>ZA-MZ</t>
  </si>
  <si>
    <t>Mozambique</t>
  </si>
  <si>
    <t>ZA-ZM</t>
  </si>
  <si>
    <t>Zambia</t>
  </si>
  <si>
    <t>MKR</t>
  </si>
  <si>
    <t>ZA-MW</t>
  </si>
  <si>
    <t>Malawi</t>
  </si>
  <si>
    <t>ZA-LS</t>
  </si>
  <si>
    <t>Lesotho</t>
  </si>
  <si>
    <t>Premium</t>
  </si>
  <si>
    <t>ZA-SZ</t>
  </si>
  <si>
    <t>Eswatini</t>
  </si>
  <si>
    <t>MMY</t>
  </si>
  <si>
    <t>ZA-BW</t>
  </si>
  <si>
    <t>Botswana</t>
  </si>
  <si>
    <t>ZA-NA</t>
  </si>
  <si>
    <t>Namibia</t>
  </si>
  <si>
    <t>ZA-MU</t>
  </si>
  <si>
    <t>Mauritius</t>
  </si>
  <si>
    <t>ZA-TZ</t>
  </si>
  <si>
    <t>Tanzania</t>
  </si>
  <si>
    <t>Growth</t>
  </si>
  <si>
    <t>ZA-KE</t>
  </si>
  <si>
    <t>Kenya</t>
  </si>
  <si>
    <t>ZA-GH</t>
  </si>
  <si>
    <t>Ghana</t>
  </si>
  <si>
    <t>ZA-NG</t>
  </si>
  <si>
    <t>Nigeria</t>
  </si>
  <si>
    <t>ZA-MG</t>
  </si>
  <si>
    <t>Madagascar</t>
  </si>
  <si>
    <t>ZA-AO</t>
  </si>
  <si>
    <t>Angola</t>
  </si>
  <si>
    <t>Emerging</t>
  </si>
  <si>
    <t>ZA-CD</t>
  </si>
  <si>
    <t>DR Congo</t>
  </si>
  <si>
    <t>ZA-ET</t>
  </si>
  <si>
    <t>Ethiopia</t>
  </si>
  <si>
    <t>Machine Learning Model Results — AfriMoney Intelligence Platform</t>
  </si>
  <si>
    <t>Model</t>
  </si>
  <si>
    <t>Algorithm</t>
  </si>
  <si>
    <t>Train N</t>
  </si>
  <si>
    <t>Test N</t>
  </si>
  <si>
    <t>AUC-ROC</t>
  </si>
  <si>
    <t>Avg Precision</t>
  </si>
  <si>
    <t>CV Mean</t>
  </si>
  <si>
    <t>CV Std</t>
  </si>
  <si>
    <t>Inference Mode</t>
  </si>
  <si>
    <t>Fraud Detection</t>
  </si>
  <si>
    <t>GradientBoostingClassifier</t>
  </si>
  <si>
    <t>160,000</t>
  </si>
  <si>
    <t>40,000</t>
  </si>
  <si>
    <t>Real-time UDF</t>
  </si>
  <si>
    <t>Customer Churn</t>
  </si>
  <si>
    <t>RandomForestClassifier</t>
  </si>
  <si>
    <t>Weekly batch</t>
  </si>
  <si>
    <t>Credit Risk PD</t>
  </si>
  <si>
    <t>12,000</t>
  </si>
  <si>
    <t>3,000</t>
  </si>
  <si>
    <t>At origination</t>
  </si>
  <si>
    <t>Feature Importance by Model (Top 8)</t>
  </si>
  <si>
    <t>Feature</t>
  </si>
  <si>
    <t>Importance</t>
  </si>
  <si>
    <t>Payment Attempts</t>
  </si>
  <si>
    <t>Days Since Last</t>
  </si>
  <si>
    <t>Dti Ratio</t>
  </si>
  <si>
    <t>Send Amount Log</t>
  </si>
  <si>
    <t>Monthly Tx Rate</t>
  </si>
  <si>
    <t>Prev Dpd</t>
  </si>
  <si>
    <t>Hour Of Day</t>
  </si>
  <si>
    <t>Engagement Score</t>
  </si>
  <si>
    <t>Employment Months</t>
  </si>
  <si>
    <t>Kyc Level</t>
  </si>
  <si>
    <t>Total Transfers</t>
  </si>
  <si>
    <t>Income Log</t>
  </si>
  <si>
    <t>Fx Spread Pct</t>
  </si>
  <si>
    <t>Wallet Balance</t>
  </si>
  <si>
    <t>Loan Count</t>
  </si>
  <si>
    <t>Is Weekend</t>
  </si>
  <si>
    <t>Principal Log</t>
  </si>
  <si>
    <t>Corridor Idx</t>
  </si>
  <si>
    <t>Distinct Corridors</t>
  </si>
  <si>
    <t>Customer Tx Count</t>
  </si>
  <si>
    <t>Card Transactions</t>
  </si>
  <si>
    <t>Customer 360 — Segmentation &amp; Lifetime Value</t>
  </si>
  <si>
    <t>LTV Band</t>
  </si>
  <si>
    <t>Definition</t>
  </si>
  <si>
    <t>KYC Level</t>
  </si>
  <si>
    <t>Cust % of 500K</t>
  </si>
  <si>
    <t>Avg LTV Score</t>
  </si>
  <si>
    <t>Avg Engagement</t>
  </si>
  <si>
    <t>Lifetime Rev R</t>
  </si>
  <si>
    <t>Churn Rate %</t>
  </si>
  <si>
    <t>Wallet Bal R</t>
  </si>
  <si>
    <t>Champion</t>
  </si>
  <si>
    <t>LTV ≥ 2000</t>
  </si>
  <si>
    <t>LEVEL_3</t>
  </si>
  <si>
    <t>95%</t>
  </si>
  <si>
    <t>R 8,200</t>
  </si>
  <si>
    <t>1.2%</t>
  </si>
  <si>
    <t>R 42,000</t>
  </si>
  <si>
    <t>High Value</t>
  </si>
  <si>
    <t>LTV 500–2000</t>
  </si>
  <si>
    <t>LEVEL_2+</t>
  </si>
  <si>
    <t>88%</t>
  </si>
  <si>
    <t>R 3,100</t>
  </si>
  <si>
    <t>8.1%</t>
  </si>
  <si>
    <t>R 28,500</t>
  </si>
  <si>
    <t>Medium Value</t>
  </si>
  <si>
    <t>LTV 100–500</t>
  </si>
  <si>
    <t>LEVEL_2</t>
  </si>
  <si>
    <t>72%</t>
  </si>
  <si>
    <t>R 680</t>
  </si>
  <si>
    <t>22.8%</t>
  </si>
  <si>
    <t>R 12,400</t>
  </si>
  <si>
    <t>Low Value</t>
  </si>
  <si>
    <t>LTV 1–100</t>
  </si>
  <si>
    <t>LEVEL_1+</t>
  </si>
  <si>
    <t>58%</t>
  </si>
  <si>
    <t>R 140</t>
  </si>
  <si>
    <t>11.8%</t>
  </si>
  <si>
    <t>R 4,200</t>
  </si>
  <si>
    <t>Zero Value</t>
  </si>
  <si>
    <t>LTV = 0</t>
  </si>
  <si>
    <t>LEVEL_0+</t>
  </si>
  <si>
    <t>31%</t>
  </si>
  <si>
    <t>R 0</t>
  </si>
  <si>
    <t>1.8%</t>
  </si>
  <si>
    <t>KYC Level Distribution</t>
  </si>
  <si>
    <t>LEVEL_0</t>
  </si>
  <si>
    <t>Unverified</t>
  </si>
  <si>
    <t>5%</t>
  </si>
  <si>
    <t>LEVEL_1</t>
  </si>
  <si>
    <t>Basic</t>
  </si>
  <si>
    <t>20%</t>
  </si>
  <si>
    <t>Verified</t>
  </si>
  <si>
    <t>50%</t>
  </si>
  <si>
    <t>25%</t>
  </si>
  <si>
    <t>FX Rates &amp; Corridor Profitability</t>
  </si>
  <si>
    <t>Currency Pair</t>
  </si>
  <si>
    <t>Fee Share %</t>
  </si>
  <si>
    <t>Net FX Margin %</t>
  </si>
  <si>
    <t>FX Revenue</t>
  </si>
  <si>
    <t>USD/ZWG</t>
  </si>
  <si>
    <t>5.41%</t>
  </si>
  <si>
    <t>4.82%</t>
  </si>
  <si>
    <t>0.59%</t>
  </si>
  <si>
    <t>R 4.82B</t>
  </si>
  <si>
    <t>ZAR/MZN</t>
  </si>
  <si>
    <t>5.38%</t>
  </si>
  <si>
    <t>4.78%</t>
  </si>
  <si>
    <t>0.60%</t>
  </si>
  <si>
    <t>R 3.21B</t>
  </si>
  <si>
    <t>ZAR/LSL</t>
  </si>
  <si>
    <t>6.21%</t>
  </si>
  <si>
    <t>5.55%</t>
  </si>
  <si>
    <t>0.66%</t>
  </si>
  <si>
    <t>R 1.48B</t>
  </si>
  <si>
    <t>ZAR/MUR</t>
  </si>
  <si>
    <t>6.44%</t>
  </si>
  <si>
    <t>5.76%</t>
  </si>
  <si>
    <t>0.68%</t>
  </si>
  <si>
    <t>R 0.71B</t>
  </si>
  <si>
    <t>ZAR/BWP</t>
  </si>
  <si>
    <t>5.88%</t>
  </si>
  <si>
    <t>5.24%</t>
  </si>
  <si>
    <t>0.64%</t>
  </si>
  <si>
    <t>R 1.68B</t>
  </si>
  <si>
    <t>ZAR/SZL</t>
  </si>
  <si>
    <t>6.05%</t>
  </si>
  <si>
    <t>R 0.99B</t>
  </si>
  <si>
    <t>ZAR/ZMW</t>
  </si>
  <si>
    <t>5.39%</t>
  </si>
  <si>
    <t>4.80%</t>
  </si>
  <si>
    <t>R 2.69B</t>
  </si>
  <si>
    <t>NGN/ZAR</t>
  </si>
  <si>
    <t>4.85%</t>
  </si>
  <si>
    <t>4.19%</t>
  </si>
  <si>
    <t>R 0.87B</t>
  </si>
  <si>
    <t>ZAR/KES</t>
  </si>
  <si>
    <t>5.22%</t>
  </si>
  <si>
    <t>4.61%</t>
  </si>
  <si>
    <t>0.61%</t>
  </si>
  <si>
    <t>R 1.10B</t>
  </si>
  <si>
    <t>ZAR/TZS</t>
  </si>
  <si>
    <t>5.15%</t>
  </si>
  <si>
    <t>4.54%</t>
  </si>
  <si>
    <t>R 1.27B</t>
  </si>
  <si>
    <t>Risk &amp; Compliance Dashboard — Monthly KPIs</t>
  </si>
  <si>
    <t>Fraud RAG</t>
  </si>
  <si>
    <t>KYC Complete %</t>
  </si>
  <si>
    <t>KYC RAG</t>
  </si>
  <si>
    <t>Ops RAG</t>
  </si>
  <si>
    <t>Cancelled %</t>
  </si>
  <si>
    <t>🟡</t>
  </si>
  <si>
    <t>🟢</t>
  </si>
  <si>
    <t>AfriMoney Lending Suite — Origination, IFRS 9 &amp; Credit Risk</t>
  </si>
  <si>
    <t>MKR: Mukuru Fast Loan (cash-backed micro-loans)  |  MMY: Mama Money Payday Advance (pilot, R200–R1000)  |  Both under AfriMoney brand</t>
  </si>
  <si>
    <t>Total Applications</t>
  </si>
  <si>
    <t>Approved</t>
  </si>
  <si>
    <t>Default Rate</t>
  </si>
  <si>
    <t>Avg Loan Size</t>
  </si>
  <si>
    <t>IFRS 9 ECL Rate</t>
  </si>
  <si>
    <t>AUC Credit Model</t>
  </si>
  <si>
    <t>215K</t>
  </si>
  <si>
    <t>65%</t>
  </si>
  <si>
    <t>11.2%</t>
  </si>
  <si>
    <t>R 3,890</t>
  </si>
  <si>
    <t>4.8%</t>
  </si>
  <si>
    <t>0.9475</t>
  </si>
  <si>
    <t>Applications</t>
  </si>
  <si>
    <t>Approval %</t>
  </si>
  <si>
    <t>Disbursed R M</t>
  </si>
  <si>
    <t>Defaults</t>
  </si>
  <si>
    <t>Default %</t>
  </si>
  <si>
    <t>ECL R M</t>
  </si>
  <si>
    <t>Business Split — Lending Products</t>
  </si>
  <si>
    <t>Product</t>
  </si>
  <si>
    <t>Avg Loan R</t>
  </si>
  <si>
    <t>Market</t>
  </si>
  <si>
    <t>Mukuru (MKR)</t>
  </si>
  <si>
    <t>Mukuru Fast Loan</t>
  </si>
  <si>
    <t>200,000</t>
  </si>
  <si>
    <t>13 corridors — app + USSD</t>
  </si>
  <si>
    <t>Mama Money (MMY)</t>
  </si>
  <si>
    <t>MMY Payday Advance (pilot)</t>
  </si>
  <si>
    <t>15,000</t>
  </si>
  <si>
    <t>R 850</t>
  </si>
  <si>
    <t>9.8%</t>
  </si>
  <si>
    <t>ZA-LS, ZA-SZ, ZA-BW only</t>
  </si>
  <si>
    <t>Wallet &amp; Card Product Analytics</t>
  </si>
  <si>
    <t>Wallet Active</t>
  </si>
  <si>
    <t>Cash In R M</t>
  </si>
  <si>
    <t>Cash Out R M</t>
  </si>
  <si>
    <t>Card Txns</t>
  </si>
  <si>
    <t>Card Spend R M</t>
  </si>
  <si>
    <t>Card Approval %</t>
  </si>
  <si>
    <t>AfriMoney — Snowflake Data Model (Bronze→Silver→Gold)</t>
  </si>
  <si>
    <t>Schema</t>
  </si>
  <si>
    <t>Table Name</t>
  </si>
  <si>
    <t>Row Count</t>
  </si>
  <si>
    <t>Type</t>
  </si>
  <si>
    <t>Key Column</t>
  </si>
  <si>
    <t>Key Fields</t>
  </si>
  <si>
    <t>BRONZE</t>
  </si>
  <si>
    <t>dim_customer</t>
  </si>
  <si>
    <t>500,000</t>
  </si>
  <si>
    <t>SCD2</t>
  </si>
  <si>
    <t>customer_sk</t>
  </si>
  <si>
    <t>customer_id, kyc_level, risk_band, status</t>
  </si>
  <si>
    <t>dim_recipient</t>
  </si>
  <si>
    <t>1,000,000</t>
  </si>
  <si>
    <t>Dimension</t>
  </si>
  <si>
    <t>recipient_id</t>
  </si>
  <si>
    <t>name_hash, country, payout_method</t>
  </si>
  <si>
    <t>fact_remittance_transfer</t>
  </si>
  <si>
    <t>5,000,000</t>
  </si>
  <si>
    <t>Fact</t>
  </si>
  <si>
    <t>transfer_id</t>
  </si>
  <si>
    <t>send_amt_zar, corridor, channel, status</t>
  </si>
  <si>
    <t>fact_wallet_ledger</t>
  </si>
  <si>
    <t>~10,000,000</t>
  </si>
  <si>
    <t>Fact (double-entry)</t>
  </si>
  <si>
    <t>ledger_id</t>
  </si>
  <si>
    <t>customer_id, direction, amount, type</t>
  </si>
  <si>
    <t>fact_card_transaction</t>
  </si>
  <si>
    <t>~3,000,000</t>
  </si>
  <si>
    <t>txn_id</t>
  </si>
  <si>
    <t>amount, status, merchant, fraud_flag</t>
  </si>
  <si>
    <t>fact_loan_application</t>
  </si>
  <si>
    <t>loan_id</t>
  </si>
  <si>
    <t>principal, decision, dpd, pd_score</t>
  </si>
  <si>
    <t>fact_fx_rate</t>
  </si>
  <si>
    <t>~95,000</t>
  </si>
  <si>
    <t>rate_id</t>
  </si>
  <si>
    <t>corridor, interbank, applied, spread_pct</t>
  </si>
  <si>
    <t>fact_insurance_policy</t>
  </si>
  <si>
    <t>policy_id</t>
  </si>
  <si>
    <t>product, premium, status</t>
  </si>
  <si>
    <t>fact_usd_savings</t>
  </si>
  <si>
    <t>50,000</t>
  </si>
  <si>
    <t>account_id</t>
  </si>
  <si>
    <t>balance_zar, usdc_balance, status</t>
  </si>
  <si>
    <t>SILVER</t>
  </si>
  <si>
    <t>stg_transfers</t>
  </si>
  <si>
    <t>view</t>
  </si>
  <si>
    <t>dbt view</t>
  </si>
  <si>
    <t>—</t>
  </si>
  <si>
    <t>Cleaned transfers + derived fields</t>
  </si>
  <si>
    <t>int_transfer_profitability</t>
  </si>
  <si>
    <t>~5M</t>
  </si>
  <si>
    <t>dbt table</t>
  </si>
  <si>
    <t>Transfers + FX join + margin tiers</t>
  </si>
  <si>
    <t>int_customer_transfer_stats</t>
  </si>
  <si>
    <t>~500K</t>
  </si>
  <si>
    <t>Aggregated customer behaviour</t>
  </si>
  <si>
    <t>GOLD</t>
  </si>
  <si>
    <t>mart_remittance</t>
  </si>
  <si>
    <t>~50K</t>
  </si>
  <si>
    <t>Monthly corridor KPIs + revenue</t>
  </si>
  <si>
    <t>mart_customer_360</t>
  </si>
  <si>
    <t>One row per customer + LTV/engagement</t>
  </si>
  <si>
    <t>mart_fx_profitability</t>
  </si>
  <si>
    <t>~200</t>
  </si>
  <si>
    <t>Corridor FX margin by month</t>
  </si>
  <si>
    <t>mart_risk_compliance</t>
  </si>
  <si>
    <t>~12</t>
  </si>
  <si>
    <t>Monthly risk RAG status KPIs</t>
  </si>
  <si>
    <t>mart_loans_mukuru</t>
  </si>
  <si>
    <t>~1K</t>
  </si>
  <si>
    <t>Loan origination + ECL + repayment</t>
  </si>
  <si>
    <t>ML_DB</t>
  </si>
  <si>
    <t>FRAUD_FEATURES</t>
  </si>
  <si>
    <t>~200K</t>
  </si>
  <si>
    <t>Feature table</t>
  </si>
  <si>
    <t>15 fraud features refreshed daily</t>
  </si>
  <si>
    <t>CHURN_FEATURES</t>
  </si>
  <si>
    <t>21 churn features refreshed weekly</t>
  </si>
  <si>
    <t>AfriMoney Intelligence Platform</t>
  </si>
  <si>
    <t>Platform</t>
  </si>
  <si>
    <t>AfriMoney Intelligence Platform — African Remittance Analytics</t>
  </si>
  <si>
    <t>Author</t>
  </si>
  <si>
    <t>Anthony Apollis</t>
  </si>
  <si>
    <t>Date</t>
  </si>
  <si>
    <t>2026-06-29</t>
  </si>
  <si>
    <t>Tech Stack</t>
  </si>
  <si>
    <t>Snowflake · dbt · Snowpark ML · Python · Power BI</t>
  </si>
  <si>
    <t>Architecture</t>
  </si>
  <si>
    <t>Bronze → Silver → Gold (Medallion)</t>
  </si>
  <si>
    <t>Data Volume</t>
  </si>
  <si>
    <t>40M+ rows across 20 table types</t>
  </si>
  <si>
    <t>ML Models</t>
  </si>
  <si>
    <t>Fraud Detection (AUC 0.9582) · Churn (0.9905) · Credit PD (0.9475)</t>
  </si>
  <si>
    <t>dbt Models</t>
  </si>
  <si>
    <t>14 models · 28 tests passing</t>
  </si>
  <si>
    <t>Corridors</t>
  </si>
  <si>
    <t>17 active SA-Africa remittance corridors</t>
  </si>
  <si>
    <t>Disclaimer</t>
  </si>
  <si>
    <t>Synthetic data only. No real customer data used.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</si>
</sst>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0.0&quot;%&quot;"/>
  </numFmts>
  <fonts count="41" x14ac:knownFonts="1">
    <font>
      <sz val="11"/>
      <color theme="1"/>
      <name val="Calibri"/>
      <family val="2"/>
      <scheme val="minor"/>
    </font>
    <font>
      <b/>
      <sz val="18"/>
      <color rgb="FFFFFFFF"/>
      <name val="Segoe UI"/>
    </font>
    <font>
      <i/>
      <sz val="10"/>
      <color rgb="FFAAAAAA"/>
      <name val="Segoe UI"/>
    </font>
    <font>
      <b/>
      <sz val="9"/>
      <color rgb="FF00C97A"/>
      <name val="Segoe UI"/>
    </font>
    <font>
      <b/>
      <sz val="20"/>
      <color rgb="FF00C97A"/>
      <name val="Segoe UI"/>
    </font>
    <font>
      <b/>
      <sz val="9"/>
      <color rgb="FFF5A623"/>
      <name val="Segoe UI"/>
    </font>
    <font>
      <b/>
      <sz val="20"/>
      <color rgb="FFF5A623"/>
      <name val="Segoe UI"/>
    </font>
    <font>
      <b/>
      <sz val="9"/>
      <color rgb="FF4ECDC4"/>
      <name val="Segoe UI"/>
    </font>
    <font>
      <b/>
      <sz val="20"/>
      <color rgb="FF4ECDC4"/>
      <name val="Segoe UI"/>
    </font>
    <font>
      <b/>
      <sz val="9"/>
      <color rgb="FFA569BD"/>
      <name val="Segoe UI"/>
    </font>
    <font>
      <b/>
      <sz val="20"/>
      <color rgb="FFA569BD"/>
      <name val="Segoe UI"/>
    </font>
    <font>
      <b/>
      <sz val="9"/>
      <color rgb="FFFF6B6B"/>
      <name val="Segoe UI"/>
    </font>
    <font>
      <b/>
      <sz val="20"/>
      <color rgb="FFFF6B6B"/>
      <name val="Segoe UI"/>
    </font>
    <font>
      <b/>
      <sz val="12"/>
      <color rgb="FF0D2137"/>
      <name val="Segoe UI"/>
    </font>
    <font>
      <b/>
      <sz val="11"/>
      <color rgb="FFFFFFFF"/>
      <name val="Segoe UI"/>
    </font>
    <font>
      <sz val="10"/>
      <color rgb="FF1A2332"/>
      <name val="Segoe UI"/>
    </font>
    <font>
      <b/>
      <sz val="10"/>
      <color rgb="FF00C97A"/>
      <name val="Segoe UI"/>
    </font>
    <font>
      <b/>
      <sz val="10"/>
      <color rgb="FFFF6B6B"/>
      <name val="Segoe UI"/>
    </font>
    <font>
      <b/>
      <sz val="16"/>
      <color rgb="FFFFFFFF"/>
      <name val="Segoe UI"/>
    </font>
    <font>
      <b/>
      <sz val="10"/>
      <color rgb="FFF5A623"/>
      <name val="Segoe UI"/>
    </font>
    <font>
      <b/>
      <sz val="10"/>
      <color rgb="FF4ECDC4"/>
      <name val="Segoe UI"/>
    </font>
    <font>
      <b/>
      <sz val="12"/>
      <color rgb="FF00C97A"/>
      <name val="Segoe UI"/>
    </font>
    <font>
      <b/>
      <sz val="12"/>
      <color rgb="FF4ECDC4"/>
      <name val="Segoe UI"/>
    </font>
    <font>
      <b/>
      <sz val="12"/>
      <color rgb="FFF5A623"/>
      <name val="Segoe UI"/>
    </font>
    <font>
      <b/>
      <sz val="11"/>
      <color rgb="FF00C97A"/>
      <name val="Segoe UI"/>
    </font>
    <font>
      <b/>
      <sz val="10"/>
      <color rgb="FF0D2137"/>
      <name val="Segoe UI"/>
    </font>
    <font>
      <b/>
      <sz val="11"/>
      <color rgb="FF4ECDC4"/>
      <name val="Segoe UI"/>
    </font>
    <font>
      <b/>
      <sz val="11"/>
      <color rgb="FFF5A623"/>
      <name val="Segoe UI"/>
    </font>
    <font>
      <b/>
      <sz val="11"/>
      <color rgb="FFFFD700"/>
      <name val="Segoe UI"/>
    </font>
    <font>
      <b/>
      <sz val="11"/>
      <color rgb="FFA569BD"/>
      <name val="Segoe UI"/>
    </font>
    <font>
      <b/>
      <sz val="11"/>
      <color rgb="FFBDC3C7"/>
      <name val="Segoe UI"/>
    </font>
    <font>
      <b/>
      <sz val="11"/>
      <color rgb="FF0D2137"/>
      <name val="Segoe UI"/>
    </font>
    <font>
      <i/>
      <sz val="9"/>
      <color rgb="FFAAAAAA"/>
      <name val="Segoe UI"/>
    </font>
    <font>
      <b/>
      <sz val="16"/>
      <color rgb="FF00C97A"/>
      <name val="Segoe UI"/>
    </font>
    <font>
      <b/>
      <sz val="16"/>
      <color rgb="FFF5A623"/>
      <name val="Segoe UI"/>
    </font>
    <font>
      <b/>
      <sz val="16"/>
      <color rgb="FFFF6B6B"/>
      <name val="Segoe UI"/>
    </font>
    <font>
      <b/>
      <sz val="16"/>
      <color rgb="FF4ECDC4"/>
      <name val="Segoe UI"/>
    </font>
    <font>
      <b/>
      <sz val="10"/>
      <color rgb="FF1A2332"/>
      <name val="Segoe UI"/>
    </font>
    <font>
      <b/>
      <sz val="10"/>
      <color rgb="FFA569BD"/>
      <name val="Segoe UI"/>
    </font>
    <font>
      <b/>
      <sz val="22"/>
      <color rgb="FFFFFFFF"/>
      <name val="Segoe UI"/>
    </font>
    <font>
      <sz val="11"/>
      <color rgb="FF1A2332"/>
      <name val="Segoe UI"/>
    </font>
  </fonts>
  <fills count="12">
    <fill>
      <patternFill patternType="none"/>
    </fill>
    <fill>
      <patternFill patternType="gray125"/>
    </fill>
    <fill>
      <patternFill patternType="solid">
        <fgColor rgb="FF0D2137"/>
      </patternFill>
    </fill>
    <fill>
      <patternFill patternType="solid">
        <fgColor rgb="FFF8FAFB"/>
      </patternFill>
    </fill>
    <fill>
      <patternFill patternType="solid">
        <fgColor rgb="FFF4F6F8"/>
      </patternFill>
    </fill>
    <fill>
      <patternFill patternType="solid">
        <fgColor rgb="FFFFFFFF"/>
      </patternFill>
    </fill>
    <fill>
      <patternFill patternType="solid">
        <fgColor rgb="FF6C3483"/>
      </patternFill>
    </fill>
    <fill>
      <patternFill patternType="solid">
        <fgColor rgb="FFDDE1E7"/>
      </patternFill>
    </fill>
    <fill>
      <patternFill patternType="solid">
        <fgColor rgb="FF1A9E98"/>
      </patternFill>
    </fill>
    <fill>
      <patternFill patternType="solid">
        <fgColor rgb="FFD4890A"/>
      </patternFill>
    </fill>
    <fill>
      <patternFill patternType="solid">
        <fgColor rgb="FFC0392B"/>
      </patternFill>
    </fill>
    <fill>
      <patternFill patternType="solid">
        <fgColor rgb="FF0A3D2E"/>
      </patternFill>
    </fill>
  </fills>
  <borders count="4">
    <border>
      <left/>
      <right/>
      <top/>
      <bottom/>
      <diagonal/>
    </border>
    <border>
      <left style="thin">
        <color rgb="FFDDE1E7"/>
      </left>
      <right style="thin">
        <color rgb="FFDDE1E7"/>
      </right>
      <top style="thin">
        <color rgb="FFDDE1E7"/>
      </top>
      <bottom style="thin">
        <color rgb="FFDDE1E7"/>
      </bottom>
      <diagonal/>
    </border>
    <border>
      <left/>
      <right/>
      <top style="thin">
        <color rgb="FFDDE1E7"/>
      </top>
      <bottom style="thin">
        <color rgb="FFDDE1E7"/>
      </bottom>
      <diagonal/>
    </border>
    <border>
      <left/>
      <right style="thin">
        <color rgb="FFDDE1E7"/>
      </right>
      <top style="thin">
        <color rgb="FFDDE1E7"/>
      </top>
      <bottom style="thin">
        <color rgb="FFDDE1E7"/>
      </bottom>
      <diagonal/>
    </border>
  </borders>
  <cellStyleXfs count="1">
    <xf numFmtId="0" fontId="0" fillId="0" borderId="0"/>
  </cellStyleXfs>
  <cellXfs count="74">
    <xf numFmtId="0" fontId="0" fillId="0" borderId="0" xfId="0"/>
    <xf numFmtId="0" fontId="13" fillId="4" borderId="0" xfId="0" applyFont="1" applyFill="1"/>
    <xf numFmtId="0" fontId="14" fillId="2" borderId="1" xfId="0" applyFont="1" applyFill="1" applyBorder="1" applyAlignment="1">
      <alignment horizontal="center" vertical="center" wrapText="1"/>
    </xf>
    <xf numFmtId="0" fontId="15" fillId="4" borderId="1" xfId="0" applyFont="1" applyFill="1" applyBorder="1" applyAlignment="1">
      <alignment horizontal="center" vertical="center" wrapText="1"/>
    </xf>
    <xf numFmtId="0" fontId="16" fillId="4" borderId="1" xfId="0" applyFont="1" applyFill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 wrapText="1"/>
    </xf>
    <xf numFmtId="0" fontId="16" fillId="5" borderId="1" xfId="0" applyFont="1" applyFill="1" applyBorder="1" applyAlignment="1">
      <alignment horizontal="center" vertical="center" wrapText="1"/>
    </xf>
    <xf numFmtId="0" fontId="17" fillId="5" borderId="1" xfId="0" applyFont="1" applyFill="1" applyBorder="1" applyAlignment="1">
      <alignment horizontal="center" vertical="center" wrapText="1"/>
    </xf>
    <xf numFmtId="0" fontId="19" fillId="4" borderId="1" xfId="0" applyFont="1" applyFill="1" applyBorder="1" applyAlignment="1">
      <alignment horizontal="center" vertical="center" wrapText="1"/>
    </xf>
    <xf numFmtId="0" fontId="19" fillId="5" borderId="1" xfId="0" applyFont="1" applyFill="1" applyBorder="1" applyAlignment="1">
      <alignment horizontal="center" vertical="center" wrapText="1"/>
    </xf>
    <xf numFmtId="0" fontId="20" fillId="5" borderId="1" xfId="0" applyFont="1" applyFill="1" applyBorder="1" applyAlignment="1">
      <alignment horizontal="center" vertical="center" wrapText="1"/>
    </xf>
    <xf numFmtId="0" fontId="20" fillId="4" borderId="1" xfId="0" applyFont="1" applyFill="1" applyBorder="1" applyAlignment="1">
      <alignment horizontal="center" vertical="center" wrapText="1"/>
    </xf>
    <xf numFmtId="0" fontId="14" fillId="6" borderId="1" xfId="0" applyFont="1" applyFill="1" applyBorder="1" applyAlignment="1">
      <alignment horizontal="center" vertical="center" wrapText="1"/>
    </xf>
    <xf numFmtId="0" fontId="21" fillId="4" borderId="1" xfId="0" applyFont="1" applyFill="1" applyBorder="1" applyAlignment="1">
      <alignment horizontal="center" vertical="center" wrapText="1"/>
    </xf>
    <xf numFmtId="0" fontId="22" fillId="5" borderId="1" xfId="0" applyFont="1" applyFill="1" applyBorder="1" applyAlignment="1">
      <alignment horizontal="center" vertical="center" wrapText="1"/>
    </xf>
    <xf numFmtId="0" fontId="23" fillId="4" borderId="1" xfId="0" applyFont="1" applyFill="1" applyBorder="1" applyAlignment="1">
      <alignment horizontal="center" vertical="center" wrapText="1"/>
    </xf>
    <xf numFmtId="0" fontId="24" fillId="4" borderId="0" xfId="0" applyFont="1" applyFill="1"/>
    <xf numFmtId="0" fontId="26" fillId="4" borderId="0" xfId="0" applyFont="1" applyFill="1"/>
    <xf numFmtId="0" fontId="27" fillId="4" borderId="0" xfId="0" applyFont="1" applyFill="1"/>
    <xf numFmtId="0" fontId="25" fillId="7" borderId="0" xfId="0" applyFont="1" applyFill="1"/>
    <xf numFmtId="0" fontId="15" fillId="4" borderId="1" xfId="0" applyFont="1" applyFill="1" applyBorder="1" applyAlignment="1">
      <alignment horizontal="left" vertical="center" wrapText="1"/>
    </xf>
    <xf numFmtId="0" fontId="15" fillId="5" borderId="1" xfId="0" applyFont="1" applyFill="1" applyBorder="1" applyAlignment="1">
      <alignment horizontal="left" vertical="center" wrapText="1"/>
    </xf>
    <xf numFmtId="0" fontId="14" fillId="8" borderId="1" xfId="0" applyFont="1" applyFill="1" applyBorder="1" applyAlignment="1">
      <alignment horizontal="center" vertical="center" wrapText="1"/>
    </xf>
    <xf numFmtId="0" fontId="28" fillId="4" borderId="1" xfId="0" applyFont="1" applyFill="1" applyBorder="1" applyAlignment="1">
      <alignment horizontal="center" vertical="center" wrapText="1"/>
    </xf>
    <xf numFmtId="164" fontId="15" fillId="4" borderId="1" xfId="0" applyNumberFormat="1" applyFont="1" applyFill="1" applyBorder="1" applyAlignment="1">
      <alignment horizontal="center" vertical="center" wrapText="1"/>
    </xf>
    <xf numFmtId="0" fontId="27" fillId="5" borderId="1" xfId="0" applyFont="1" applyFill="1" applyBorder="1" applyAlignment="1">
      <alignment horizontal="center" vertical="center" wrapText="1"/>
    </xf>
    <xf numFmtId="164" fontId="15" fillId="5" borderId="1" xfId="0" applyNumberFormat="1" applyFont="1" applyFill="1" applyBorder="1" applyAlignment="1">
      <alignment horizontal="center" vertical="center" wrapText="1"/>
    </xf>
    <xf numFmtId="0" fontId="29" fillId="4" borderId="1" xfId="0" applyFont="1" applyFill="1" applyBorder="1" applyAlignment="1">
      <alignment horizontal="center" vertical="center" wrapText="1"/>
    </xf>
    <xf numFmtId="0" fontId="26" fillId="5" borderId="1" xfId="0" applyFont="1" applyFill="1" applyBorder="1" applyAlignment="1">
      <alignment horizontal="center" vertical="center" wrapText="1"/>
    </xf>
    <xf numFmtId="0" fontId="30" fillId="4" borderId="1" xfId="0" applyFont="1" applyFill="1" applyBorder="1" applyAlignment="1">
      <alignment horizontal="center" vertical="center" wrapText="1"/>
    </xf>
    <xf numFmtId="0" fontId="31" fillId="0" borderId="0" xfId="0" applyFont="1"/>
    <xf numFmtId="0" fontId="14" fillId="9" borderId="1" xfId="0" applyFont="1" applyFill="1" applyBorder="1" applyAlignment="1">
      <alignment horizontal="center" vertical="center" wrapText="1"/>
    </xf>
    <xf numFmtId="0" fontId="14" fillId="10" borderId="1" xfId="0" applyFont="1" applyFill="1" applyBorder="1" applyAlignment="1">
      <alignment horizontal="center" vertical="center" wrapText="1"/>
    </xf>
    <xf numFmtId="0" fontId="31" fillId="4" borderId="0" xfId="0" applyFont="1" applyFill="1"/>
    <xf numFmtId="0" fontId="14" fillId="11" borderId="1" xfId="0" applyFont="1" applyFill="1" applyBorder="1" applyAlignment="1">
      <alignment horizontal="center" vertical="center" wrapText="1"/>
    </xf>
    <xf numFmtId="0" fontId="37" fillId="4" borderId="1" xfId="0" applyFont="1" applyFill="1" applyBorder="1" applyAlignment="1">
      <alignment horizontal="left" vertical="center" wrapText="1"/>
    </xf>
    <xf numFmtId="0" fontId="37" fillId="5" borderId="1" xfId="0" applyFont="1" applyFill="1" applyBorder="1" applyAlignment="1">
      <alignment horizontal="left" vertical="center" wrapText="1"/>
    </xf>
    <xf numFmtId="0" fontId="38" fillId="5" borderId="1" xfId="0" applyFont="1" applyFill="1" applyBorder="1" applyAlignment="1">
      <alignment horizontal="center" vertical="center" wrapText="1"/>
    </xf>
    <xf numFmtId="0" fontId="38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left" vertical="center" wrapText="1"/>
    </xf>
    <xf numFmtId="0" fontId="0" fillId="3" borderId="1" xfId="0" applyFill="1" applyBorder="1"/>
    <xf numFmtId="0" fontId="0" fillId="0" borderId="0" xfId="0"/>
    <xf numFmtId="0" fontId="3" fillId="3" borderId="1" xfId="0" applyFont="1" applyFill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10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5" fillId="3" borderId="1" xfId="0" applyFont="1" applyFill="1" applyBorder="1" applyAlignment="1">
      <alignment horizontal="center" vertical="center" wrapText="1"/>
    </xf>
    <xf numFmtId="0" fontId="2" fillId="2" borderId="0" xfId="0" applyFont="1" applyFill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12" fillId="3" borderId="1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8" fillId="6" borderId="0" xfId="0" applyFont="1" applyFill="1" applyAlignment="1">
      <alignment horizontal="center" vertical="center" wrapText="1"/>
    </xf>
    <xf numFmtId="0" fontId="18" fillId="8" borderId="0" xfId="0" applyFont="1" applyFill="1" applyAlignment="1">
      <alignment horizontal="center" vertical="center" wrapText="1"/>
    </xf>
    <xf numFmtId="0" fontId="18" fillId="9" borderId="0" xfId="0" applyFont="1" applyFill="1" applyAlignment="1">
      <alignment horizontal="center" vertical="center" wrapText="1"/>
    </xf>
    <xf numFmtId="0" fontId="18" fillId="10" borderId="0" xfId="0" applyFont="1" applyFill="1" applyAlignment="1">
      <alignment horizontal="center" vertical="center" wrapText="1"/>
    </xf>
    <xf numFmtId="0" fontId="11" fillId="4" borderId="0" xfId="0" applyFont="1" applyFill="1" applyAlignment="1">
      <alignment horizontal="center" vertical="center" wrapText="1"/>
    </xf>
    <xf numFmtId="0" fontId="5" fillId="4" borderId="0" xfId="0" applyFont="1" applyFill="1" applyAlignment="1">
      <alignment horizontal="center" vertical="center" wrapText="1"/>
    </xf>
    <xf numFmtId="0" fontId="32" fillId="2" borderId="0" xfId="0" applyFont="1" applyFill="1" applyAlignment="1">
      <alignment horizontal="center" vertical="center" wrapText="1"/>
    </xf>
    <xf numFmtId="0" fontId="7" fillId="4" borderId="0" xfId="0" applyFont="1" applyFill="1" applyAlignment="1">
      <alignment horizontal="center" vertical="center" wrapText="1"/>
    </xf>
    <xf numFmtId="0" fontId="33" fillId="4" borderId="0" xfId="0" applyFont="1" applyFill="1" applyAlignment="1">
      <alignment horizontal="center" vertical="center" wrapText="1"/>
    </xf>
    <xf numFmtId="0" fontId="35" fillId="4" borderId="0" xfId="0" applyFont="1" applyFill="1" applyAlignment="1">
      <alignment horizontal="center" vertical="center" wrapText="1"/>
    </xf>
    <xf numFmtId="0" fontId="34" fillId="4" borderId="0" xfId="0" applyFont="1" applyFill="1" applyAlignment="1">
      <alignment horizontal="center" vertical="center" wrapText="1"/>
    </xf>
    <xf numFmtId="0" fontId="36" fillId="4" borderId="0" xfId="0" applyFont="1" applyFill="1" applyAlignment="1">
      <alignment horizontal="center" vertical="center" wrapText="1"/>
    </xf>
    <xf numFmtId="0" fontId="3" fillId="4" borderId="0" xfId="0" applyFont="1" applyFill="1" applyAlignment="1">
      <alignment horizontal="center" vertical="center" wrapText="1"/>
    </xf>
    <xf numFmtId="0" fontId="18" fillId="11" borderId="0" xfId="0" applyFont="1" applyFill="1" applyAlignment="1">
      <alignment horizontal="center" vertical="center" wrapText="1"/>
    </xf>
    <xf numFmtId="0" fontId="40" fillId="5" borderId="1" xfId="0" applyFont="1" applyFill="1" applyBorder="1" applyAlignment="1">
      <alignment horizontal="left" vertical="center" wrapText="1"/>
    </xf>
    <xf numFmtId="0" fontId="0" fillId="0" borderId="2" xfId="0" applyBorder="1"/>
    <xf numFmtId="0" fontId="0" fillId="0" borderId="3" xfId="0" applyBorder="1"/>
    <xf numFmtId="0" fontId="39" fillId="2" borderId="0" xfId="0" applyFont="1" applyFill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1"/>
  <c:style val="10"/>
  <c:chart>
    <c:title>
      <c:tx>
        <c:rich>
          <a:bodyPr/>
          <a:lstStyle/>
          <a:p>
            <a:pPr>
              <a:defRPr/>
            </a:pPr>
            <a:r>
              <a:rPr lang="en-ZA"/>
              <a:t>Monthly Transfer Volume (R Billion)</a:t>
            </a:r>
          </a:p>
        </c:rich>
      </c:tx>
      <c:layout/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'Executive Dashboard'!$C$10</c:f>
              <c:strCache>
                <c:ptCount val="1"/>
                <c:pt idx="0">
                  <c:v>MKR Vol (R B)</c:v>
                </c:pt>
              </c:strCache>
            </c:strRef>
          </c:tx>
          <c:spPr>
            <a:solidFill>
              <a:srgbClr val="00C97A"/>
            </a:solidFill>
            <a:ln>
              <a:prstDash val="solid"/>
            </a:ln>
          </c:spPr>
          <c:invertIfNegative val="1"/>
          <c:cat>
            <c:strRef>
              <c:f>'Executive Dashboard'!$B$11:$B$16</c:f>
              <c:strCache>
                <c:ptCount val="6"/>
                <c:pt idx="0">
                  <c:v>Jan-26</c:v>
                </c:pt>
                <c:pt idx="1">
                  <c:v>Feb-26</c:v>
                </c:pt>
                <c:pt idx="2">
                  <c:v>Mar-26</c:v>
                </c:pt>
                <c:pt idx="3">
                  <c:v>Apr-26</c:v>
                </c:pt>
                <c:pt idx="4">
                  <c:v>May-26</c:v>
                </c:pt>
                <c:pt idx="5">
                  <c:v>Jun-26</c:v>
                </c:pt>
              </c:strCache>
            </c:strRef>
          </c:cat>
          <c:val>
            <c:numRef>
              <c:f>'Executive Dashboard'!$C$11:$C$16</c:f>
              <c:numCache>
                <c:formatCode>General</c:formatCode>
                <c:ptCount val="6"/>
                <c:pt idx="0">
                  <c:v>8.1999999999999993</c:v>
                </c:pt>
                <c:pt idx="1">
                  <c:v>8.9</c:v>
                </c:pt>
                <c:pt idx="2">
                  <c:v>9.4</c:v>
                </c:pt>
                <c:pt idx="3">
                  <c:v>10.1</c:v>
                </c:pt>
                <c:pt idx="4">
                  <c:v>10.8</c:v>
                </c:pt>
                <c:pt idx="5">
                  <c:v>11.4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</c:extLst>
        </c:ser>
        <c:ser>
          <c:idx val="1"/>
          <c:order val="1"/>
          <c:tx>
            <c:strRef>
              <c:f>'Executive Dashboard'!$D$10</c:f>
              <c:strCache>
                <c:ptCount val="1"/>
                <c:pt idx="0">
                  <c:v>MMY Vol (R B)</c:v>
                </c:pt>
              </c:strCache>
            </c:strRef>
          </c:tx>
          <c:spPr>
            <a:solidFill>
              <a:srgbClr val="F5A623"/>
            </a:solidFill>
            <a:ln>
              <a:prstDash val="solid"/>
            </a:ln>
          </c:spPr>
          <c:invertIfNegative val="1"/>
          <c:cat>
            <c:strRef>
              <c:f>'Executive Dashboard'!$B$11:$B$16</c:f>
              <c:strCache>
                <c:ptCount val="6"/>
                <c:pt idx="0">
                  <c:v>Jan-26</c:v>
                </c:pt>
                <c:pt idx="1">
                  <c:v>Feb-26</c:v>
                </c:pt>
                <c:pt idx="2">
                  <c:v>Mar-26</c:v>
                </c:pt>
                <c:pt idx="3">
                  <c:v>Apr-26</c:v>
                </c:pt>
                <c:pt idx="4">
                  <c:v>May-26</c:v>
                </c:pt>
                <c:pt idx="5">
                  <c:v>Jun-26</c:v>
                </c:pt>
              </c:strCache>
            </c:strRef>
          </c:cat>
          <c:val>
            <c:numRef>
              <c:f>'Executive Dashboard'!$D$11:$D$16</c:f>
              <c:numCache>
                <c:formatCode>General</c:formatCode>
                <c:ptCount val="6"/>
                <c:pt idx="0">
                  <c:v>4.0999999999999996</c:v>
                </c:pt>
                <c:pt idx="1">
                  <c:v>4.5</c:v>
                </c:pt>
                <c:pt idx="2">
                  <c:v>4.8</c:v>
                </c:pt>
                <c:pt idx="3">
                  <c:v>5.2</c:v>
                </c:pt>
                <c:pt idx="4">
                  <c:v>5.6</c:v>
                </c:pt>
                <c:pt idx="5">
                  <c:v>5.9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</c:extLst>
        </c:ser>
        <c:ser>
          <c:idx val="2"/>
          <c:order val="2"/>
          <c:tx>
            <c:strRef>
              <c:f>'Executive Dashboard'!$E$10</c:f>
              <c:strCache>
                <c:ptCount val="1"/>
                <c:pt idx="0">
                  <c:v>Total Vol (R B)</c:v>
                </c:pt>
              </c:strCache>
            </c:strRef>
          </c:tx>
          <c:spPr>
            <a:solidFill>
              <a:srgbClr val="4ECDC4"/>
            </a:solidFill>
            <a:ln>
              <a:prstDash val="solid"/>
            </a:ln>
          </c:spPr>
          <c:invertIfNegative val="1"/>
          <c:cat>
            <c:strRef>
              <c:f>'Executive Dashboard'!$B$11:$B$16</c:f>
              <c:strCache>
                <c:ptCount val="6"/>
                <c:pt idx="0">
                  <c:v>Jan-26</c:v>
                </c:pt>
                <c:pt idx="1">
                  <c:v>Feb-26</c:v>
                </c:pt>
                <c:pt idx="2">
                  <c:v>Mar-26</c:v>
                </c:pt>
                <c:pt idx="3">
                  <c:v>Apr-26</c:v>
                </c:pt>
                <c:pt idx="4">
                  <c:v>May-26</c:v>
                </c:pt>
                <c:pt idx="5">
                  <c:v>Jun-26</c:v>
                </c:pt>
              </c:strCache>
            </c:strRef>
          </c:cat>
          <c:val>
            <c:numRef>
              <c:f>'Executive Dashboard'!$E$11:$E$16</c:f>
              <c:numCache>
                <c:formatCode>General</c:formatCode>
                <c:ptCount val="6"/>
                <c:pt idx="0">
                  <c:v>12.3</c:v>
                </c:pt>
                <c:pt idx="1">
                  <c:v>13.4</c:v>
                </c:pt>
                <c:pt idx="2">
                  <c:v>14.2</c:v>
                </c:pt>
                <c:pt idx="3">
                  <c:v>15.3</c:v>
                </c:pt>
                <c:pt idx="4">
                  <c:v>16.399999999999999</c:v>
                </c:pt>
                <c:pt idx="5">
                  <c:v>17.3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52763520"/>
        <c:axId val="452764696"/>
      </c:barChart>
      <c:catAx>
        <c:axId val="45276352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ZA"/>
                  <a:t>Month</a:t>
                </a:r>
              </a:p>
            </c:rich>
          </c:tx>
          <c:layout/>
          <c:overlay val="1"/>
        </c:title>
        <c:numFmt formatCode="General" sourceLinked="1"/>
        <c:majorTickMark val="none"/>
        <c:minorTickMark val="none"/>
        <c:tickLblPos val="nextTo"/>
        <c:crossAx val="452764696"/>
        <c:crosses val="autoZero"/>
        <c:auto val="1"/>
        <c:lblAlgn val="ctr"/>
        <c:lblOffset val="100"/>
        <c:noMultiLvlLbl val="1"/>
      </c:catAx>
      <c:valAx>
        <c:axId val="452764696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ZA"/>
                  <a:t>Volume (R B)</a:t>
                </a:r>
              </a:p>
            </c:rich>
          </c:tx>
          <c:layout/>
          <c:overlay val="1"/>
        </c:title>
        <c:numFmt formatCode="General" sourceLinked="1"/>
        <c:majorTickMark val="none"/>
        <c:minorTickMark val="none"/>
        <c:tickLblPos val="nextTo"/>
        <c:crossAx val="452763520"/>
        <c:crosses val="autoZero"/>
        <c:crossBetween val="between"/>
      </c:valAx>
    </c:plotArea>
    <c:legend>
      <c:legendPos val="r"/>
      <c:layout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1"/>
  <c:style val="10"/>
  <c:chart>
    <c:title>
      <c:tx>
        <c:rich>
          <a:bodyPr/>
          <a:lstStyle/>
          <a:p>
            <a:pPr>
              <a:defRPr/>
            </a:pPr>
            <a:r>
              <a:rPr lang="en-ZA"/>
              <a:t>Transfer Success Rate &amp; Fraud (bps)</a:t>
            </a:r>
          </a:p>
        </c:rich>
      </c:tx>
      <c:layout/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'Executive Dashboard'!$H$10</c:f>
              <c:strCache>
                <c:ptCount val="1"/>
                <c:pt idx="0">
                  <c:v>Success Rate %</c:v>
                </c:pt>
              </c:strCache>
            </c:strRef>
          </c:tx>
          <c:spPr>
            <a:ln w="25000">
              <a:solidFill>
                <a:srgbClr val="00C97A"/>
              </a:solidFill>
              <a:prstDash val="solid"/>
            </a:ln>
          </c:spPr>
          <c:marker>
            <c:symbol val="none"/>
          </c:marker>
          <c:cat>
            <c:strRef>
              <c:f>'Executive Dashboard'!$B$11:$B$16</c:f>
              <c:strCache>
                <c:ptCount val="6"/>
                <c:pt idx="0">
                  <c:v>Jan-26</c:v>
                </c:pt>
                <c:pt idx="1">
                  <c:v>Feb-26</c:v>
                </c:pt>
                <c:pt idx="2">
                  <c:v>Mar-26</c:v>
                </c:pt>
                <c:pt idx="3">
                  <c:v>Apr-26</c:v>
                </c:pt>
                <c:pt idx="4">
                  <c:v>May-26</c:v>
                </c:pt>
                <c:pt idx="5">
                  <c:v>Jun-26</c:v>
                </c:pt>
              </c:strCache>
            </c:strRef>
          </c:cat>
          <c:val>
            <c:numRef>
              <c:f>'Executive Dashboard'!$H$11:$H$16</c:f>
              <c:numCache>
                <c:formatCode>General</c:formatCode>
                <c:ptCount val="6"/>
                <c:pt idx="0">
                  <c:v>76.099999999999994</c:v>
                </c:pt>
                <c:pt idx="1">
                  <c:v>76.8</c:v>
                </c:pt>
                <c:pt idx="2">
                  <c:v>77.400000000000006</c:v>
                </c:pt>
                <c:pt idx="3">
                  <c:v>78</c:v>
                </c:pt>
                <c:pt idx="4">
                  <c:v>78.599999999999994</c:v>
                </c:pt>
                <c:pt idx="5">
                  <c:v>79.2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'Executive Dashboard'!$I$10</c:f>
              <c:strCache>
                <c:ptCount val="1"/>
                <c:pt idx="0">
                  <c:v>Fraud Rate bps</c:v>
                </c:pt>
              </c:strCache>
            </c:strRef>
          </c:tx>
          <c:spPr>
            <a:ln w="25000">
              <a:solidFill>
                <a:srgbClr val="FF6B6B"/>
              </a:solidFill>
              <a:prstDash val="solid"/>
            </a:ln>
          </c:spPr>
          <c:marker>
            <c:symbol val="none"/>
          </c:marker>
          <c:cat>
            <c:strRef>
              <c:f>'Executive Dashboard'!$B$11:$B$16</c:f>
              <c:strCache>
                <c:ptCount val="6"/>
                <c:pt idx="0">
                  <c:v>Jan-26</c:v>
                </c:pt>
                <c:pt idx="1">
                  <c:v>Feb-26</c:v>
                </c:pt>
                <c:pt idx="2">
                  <c:v>Mar-26</c:v>
                </c:pt>
                <c:pt idx="3">
                  <c:v>Apr-26</c:v>
                </c:pt>
                <c:pt idx="4">
                  <c:v>May-26</c:v>
                </c:pt>
                <c:pt idx="5">
                  <c:v>Jun-26</c:v>
                </c:pt>
              </c:strCache>
            </c:strRef>
          </c:cat>
          <c:val>
            <c:numRef>
              <c:f>'Executive Dashboard'!$I$11:$I$16</c:f>
              <c:numCache>
                <c:formatCode>General</c:formatCode>
                <c:ptCount val="6"/>
                <c:pt idx="0">
                  <c:v>4.0999999999999996</c:v>
                </c:pt>
                <c:pt idx="1">
                  <c:v>3.8</c:v>
                </c:pt>
                <c:pt idx="2">
                  <c:v>3.5</c:v>
                </c:pt>
                <c:pt idx="3">
                  <c:v>3.2</c:v>
                </c:pt>
                <c:pt idx="4">
                  <c:v>3</c:v>
                </c:pt>
                <c:pt idx="5">
                  <c:v>2.8</c:v>
                </c:pt>
              </c:numCache>
            </c:numRef>
          </c:val>
          <c:smooth val="1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52761560"/>
        <c:axId val="452762736"/>
      </c:lineChart>
      <c:catAx>
        <c:axId val="45276156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452762736"/>
        <c:crosses val="autoZero"/>
        <c:auto val="1"/>
        <c:lblAlgn val="ctr"/>
        <c:lblOffset val="100"/>
        <c:noMultiLvlLbl val="1"/>
      </c:catAx>
      <c:valAx>
        <c:axId val="452762736"/>
        <c:scaling>
          <c:orientation val="minMax"/>
        </c:scaling>
        <c:delete val="1"/>
        <c:axPos val="l"/>
        <c:majorGridlines/>
        <c:numFmt formatCode="General" sourceLinked="1"/>
        <c:majorTickMark val="none"/>
        <c:minorTickMark val="none"/>
        <c:tickLblPos val="nextTo"/>
        <c:crossAx val="452761560"/>
        <c:crosses val="autoZero"/>
        <c:crossBetween val="between"/>
      </c:valAx>
    </c:plotArea>
    <c:legend>
      <c:legendPos val="r"/>
      <c:layout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1"/>
  <c:style val="10"/>
  <c:chart>
    <c:title>
      <c:tx>
        <c:rich>
          <a:bodyPr/>
          <a:lstStyle/>
          <a:p>
            <a:pPr>
              <a:defRPr/>
            </a:pPr>
            <a:r>
              <a:rPr lang="en-ZA"/>
              <a:t>Corridor Volume (R Billion) — colour = ML cluster</a:t>
            </a:r>
          </a:p>
        </c:rich>
      </c:tx>
      <c:layout/>
      <c:overlay val="1"/>
    </c:title>
    <c:autoTitleDeleted val="0"/>
    <c:plotArea>
      <c:layout/>
      <c:barChart>
        <c:barDir val="bar"/>
        <c:grouping val="clustered"/>
        <c:varyColors val="1"/>
        <c:ser>
          <c:idx val="0"/>
          <c:order val="0"/>
          <c:tx>
            <c:strRef>
              <c:f>'Corridor Analysis'!$F$4</c:f>
              <c:strCache>
                <c:ptCount val="1"/>
                <c:pt idx="0">
                  <c:v>Vol (R B)</c:v>
                </c:pt>
              </c:strCache>
            </c:strRef>
          </c:tx>
          <c:spPr>
            <a:ln>
              <a:prstDash val="solid"/>
            </a:ln>
          </c:spPr>
          <c:invertIfNegative val="1"/>
          <c:dPt>
            <c:idx val="0"/>
            <c:invertIfNegative val="1"/>
            <c:bubble3D val="0"/>
            <c:spPr>
              <a:solidFill>
                <a:srgbClr val="FF6B6B"/>
              </a:solidFill>
              <a:ln>
                <a:prstDash val="solid"/>
              </a:ln>
            </c:spPr>
          </c:dPt>
          <c:dPt>
            <c:idx val="1"/>
            <c:invertIfNegative val="1"/>
            <c:bubble3D val="0"/>
            <c:spPr>
              <a:solidFill>
                <a:srgbClr val="FF6B6B"/>
              </a:solidFill>
              <a:ln>
                <a:prstDash val="solid"/>
              </a:ln>
            </c:spPr>
          </c:dPt>
          <c:dPt>
            <c:idx val="2"/>
            <c:invertIfNegative val="1"/>
            <c:bubble3D val="0"/>
            <c:spPr>
              <a:solidFill>
                <a:srgbClr val="FF6B6B"/>
              </a:solidFill>
              <a:ln>
                <a:prstDash val="solid"/>
              </a:ln>
            </c:spPr>
          </c:dPt>
          <c:dPt>
            <c:idx val="3"/>
            <c:invertIfNegative val="1"/>
            <c:bubble3D val="0"/>
            <c:spPr>
              <a:solidFill>
                <a:srgbClr val="FF6B6B"/>
              </a:solidFill>
              <a:ln>
                <a:prstDash val="solid"/>
              </a:ln>
            </c:spPr>
          </c:dPt>
          <c:dPt>
            <c:idx val="4"/>
            <c:invertIfNegative val="1"/>
            <c:bubble3D val="0"/>
            <c:spPr>
              <a:solidFill>
                <a:srgbClr val="F5A623"/>
              </a:solidFill>
              <a:ln>
                <a:prstDash val="solid"/>
              </a:ln>
            </c:spPr>
          </c:dPt>
          <c:dPt>
            <c:idx val="5"/>
            <c:invertIfNegative val="1"/>
            <c:bubble3D val="0"/>
            <c:spPr>
              <a:solidFill>
                <a:srgbClr val="F5A623"/>
              </a:solidFill>
              <a:ln>
                <a:prstDash val="solid"/>
              </a:ln>
            </c:spPr>
          </c:dPt>
          <c:dPt>
            <c:idx val="6"/>
            <c:invertIfNegative val="1"/>
            <c:bubble3D val="0"/>
            <c:spPr>
              <a:solidFill>
                <a:srgbClr val="F5A623"/>
              </a:solidFill>
              <a:ln>
                <a:prstDash val="solid"/>
              </a:ln>
            </c:spPr>
          </c:dPt>
          <c:dPt>
            <c:idx val="7"/>
            <c:invertIfNegative val="1"/>
            <c:bubble3D val="0"/>
            <c:spPr>
              <a:solidFill>
                <a:srgbClr val="F5A623"/>
              </a:solidFill>
              <a:ln>
                <a:prstDash val="solid"/>
              </a:ln>
            </c:spPr>
          </c:dPt>
          <c:dPt>
            <c:idx val="8"/>
            <c:invertIfNegative val="1"/>
            <c:bubble3D val="0"/>
            <c:spPr>
              <a:solidFill>
                <a:srgbClr val="F5A623"/>
              </a:solidFill>
              <a:ln>
                <a:prstDash val="solid"/>
              </a:ln>
            </c:spPr>
          </c:dPt>
          <c:dPt>
            <c:idx val="9"/>
            <c:invertIfNegative val="1"/>
            <c:bubble3D val="0"/>
            <c:spPr>
              <a:solidFill>
                <a:srgbClr val="4ECDC4"/>
              </a:solidFill>
              <a:ln>
                <a:prstDash val="solid"/>
              </a:ln>
            </c:spPr>
          </c:dPt>
          <c:dPt>
            <c:idx val="10"/>
            <c:invertIfNegative val="1"/>
            <c:bubble3D val="0"/>
            <c:spPr>
              <a:solidFill>
                <a:srgbClr val="4ECDC4"/>
              </a:solidFill>
              <a:ln>
                <a:prstDash val="solid"/>
              </a:ln>
            </c:spPr>
          </c:dPt>
          <c:dPt>
            <c:idx val="11"/>
            <c:invertIfNegative val="1"/>
            <c:bubble3D val="0"/>
            <c:spPr>
              <a:solidFill>
                <a:srgbClr val="4ECDC4"/>
              </a:solidFill>
              <a:ln>
                <a:prstDash val="solid"/>
              </a:ln>
            </c:spPr>
          </c:dPt>
          <c:dPt>
            <c:idx val="12"/>
            <c:invertIfNegative val="1"/>
            <c:bubble3D val="0"/>
            <c:spPr>
              <a:solidFill>
                <a:srgbClr val="4ECDC4"/>
              </a:solidFill>
              <a:ln>
                <a:prstDash val="solid"/>
              </a:ln>
            </c:spPr>
          </c:dPt>
          <c:dPt>
            <c:idx val="13"/>
            <c:invertIfNegative val="1"/>
            <c:bubble3D val="0"/>
            <c:spPr>
              <a:solidFill>
                <a:srgbClr val="4ECDC4"/>
              </a:solidFill>
              <a:ln>
                <a:prstDash val="solid"/>
              </a:ln>
            </c:spPr>
          </c:dPt>
          <c:dPt>
            <c:idx val="14"/>
            <c:invertIfNegative val="1"/>
            <c:bubble3D val="0"/>
            <c:spPr>
              <a:solidFill>
                <a:srgbClr val="00C97A"/>
              </a:solidFill>
              <a:ln>
                <a:prstDash val="solid"/>
              </a:ln>
            </c:spPr>
          </c:dPt>
          <c:dPt>
            <c:idx val="15"/>
            <c:invertIfNegative val="1"/>
            <c:bubble3D val="0"/>
            <c:spPr>
              <a:solidFill>
                <a:srgbClr val="00C97A"/>
              </a:solidFill>
              <a:ln>
                <a:prstDash val="solid"/>
              </a:ln>
            </c:spPr>
          </c:dPt>
          <c:dPt>
            <c:idx val="16"/>
            <c:invertIfNegative val="1"/>
            <c:bubble3D val="0"/>
            <c:spPr>
              <a:solidFill>
                <a:srgbClr val="00C97A"/>
              </a:solidFill>
              <a:ln>
                <a:prstDash val="solid"/>
              </a:ln>
            </c:spPr>
          </c:dPt>
          <c:cat>
            <c:strRef>
              <c:f>'Corridor Analysis'!$C$5:$C$21</c:f>
              <c:strCache>
                <c:ptCount val="17"/>
                <c:pt idx="0">
                  <c:v>Zimbabwe</c:v>
                </c:pt>
                <c:pt idx="1">
                  <c:v>Mozambique</c:v>
                </c:pt>
                <c:pt idx="2">
                  <c:v>Zambia</c:v>
                </c:pt>
                <c:pt idx="3">
                  <c:v>Malawi</c:v>
                </c:pt>
                <c:pt idx="4">
                  <c:v>Lesotho</c:v>
                </c:pt>
                <c:pt idx="5">
                  <c:v>Eswatini</c:v>
                </c:pt>
                <c:pt idx="6">
                  <c:v>Botswana</c:v>
                </c:pt>
                <c:pt idx="7">
                  <c:v>Namibia</c:v>
                </c:pt>
                <c:pt idx="8">
                  <c:v>Mauritius</c:v>
                </c:pt>
                <c:pt idx="9">
                  <c:v>Tanzania</c:v>
                </c:pt>
                <c:pt idx="10">
                  <c:v>Kenya</c:v>
                </c:pt>
                <c:pt idx="11">
                  <c:v>Ghana</c:v>
                </c:pt>
                <c:pt idx="12">
                  <c:v>Nigeria</c:v>
                </c:pt>
                <c:pt idx="13">
                  <c:v>Madagascar</c:v>
                </c:pt>
                <c:pt idx="14">
                  <c:v>Angola</c:v>
                </c:pt>
                <c:pt idx="15">
                  <c:v>DR Congo</c:v>
                </c:pt>
                <c:pt idx="16">
                  <c:v>Ethiopia</c:v>
                </c:pt>
              </c:strCache>
            </c:strRef>
          </c:cat>
          <c:val>
            <c:numRef>
              <c:f>'Corridor Analysis'!$F$5:$F$21</c:f>
              <c:numCache>
                <c:formatCode>General</c:formatCode>
                <c:ptCount val="17"/>
                <c:pt idx="0">
                  <c:v>18.399999999999999</c:v>
                </c:pt>
                <c:pt idx="1">
                  <c:v>12.1</c:v>
                </c:pt>
                <c:pt idx="2">
                  <c:v>8.6999999999999993</c:v>
                </c:pt>
                <c:pt idx="3">
                  <c:v>6.2</c:v>
                </c:pt>
                <c:pt idx="4">
                  <c:v>4.8</c:v>
                </c:pt>
                <c:pt idx="5">
                  <c:v>3.1</c:v>
                </c:pt>
                <c:pt idx="6">
                  <c:v>5.4</c:v>
                </c:pt>
                <c:pt idx="7">
                  <c:v>3.9</c:v>
                </c:pt>
                <c:pt idx="8">
                  <c:v>2.2000000000000002</c:v>
                </c:pt>
                <c:pt idx="9">
                  <c:v>4.0999999999999996</c:v>
                </c:pt>
                <c:pt idx="10">
                  <c:v>3.6</c:v>
                </c:pt>
                <c:pt idx="11">
                  <c:v>2.9</c:v>
                </c:pt>
                <c:pt idx="12">
                  <c:v>3.4</c:v>
                </c:pt>
                <c:pt idx="13">
                  <c:v>1.8</c:v>
                </c:pt>
                <c:pt idx="14">
                  <c:v>1.4</c:v>
                </c:pt>
                <c:pt idx="15">
                  <c:v>1.1000000000000001</c:v>
                </c:pt>
                <c:pt idx="16">
                  <c:v>0.9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52765872"/>
        <c:axId val="452766264"/>
      </c:barChart>
      <c:catAx>
        <c:axId val="452765872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452766264"/>
        <c:crosses val="autoZero"/>
        <c:auto val="1"/>
        <c:lblAlgn val="ctr"/>
        <c:lblOffset val="100"/>
        <c:noMultiLvlLbl val="1"/>
      </c:catAx>
      <c:valAx>
        <c:axId val="452766264"/>
        <c:scaling>
          <c:orientation val="minMax"/>
        </c:scaling>
        <c:delete val="1"/>
        <c:axPos val="b"/>
        <c:majorGridlines/>
        <c:numFmt formatCode="General" sourceLinked="1"/>
        <c:majorTickMark val="none"/>
        <c:minorTickMark val="none"/>
        <c:tickLblPos val="nextTo"/>
        <c:crossAx val="452765872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1"/>
  <c:style val="10"/>
  <c:chart>
    <c:title>
      <c:tx>
        <c:rich>
          <a:bodyPr/>
          <a:lstStyle/>
          <a:p>
            <a:pPr>
              <a:defRPr/>
            </a:pPr>
            <a:r>
              <a:rPr lang="en-ZA"/>
              <a:t>Fraud Detection — Feature Importance</a:t>
            </a:r>
          </a:p>
        </c:rich>
      </c:tx>
      <c:layout/>
      <c:overlay val="1"/>
    </c:title>
    <c:autoTitleDeleted val="0"/>
    <c:plotArea>
      <c:layout/>
      <c:barChart>
        <c:barDir val="bar"/>
        <c:grouping val="clustered"/>
        <c:varyColors val="1"/>
        <c:ser>
          <c:idx val="0"/>
          <c:order val="0"/>
          <c:tx>
            <c:strRef>
              <c:f>'ML Model Results'!$C$11</c:f>
              <c:strCache>
                <c:ptCount val="1"/>
                <c:pt idx="0">
                  <c:v>Importance</c:v>
                </c:pt>
              </c:strCache>
            </c:strRef>
          </c:tx>
          <c:spPr>
            <a:ln>
              <a:prstDash val="solid"/>
            </a:ln>
          </c:spPr>
          <c:invertIfNegative val="1"/>
          <c:dPt>
            <c:idx val="0"/>
            <c:invertIfNegative val="1"/>
            <c:bubble3D val="0"/>
            <c:spPr>
              <a:solidFill>
                <a:srgbClr val="FF6B6B"/>
              </a:solidFill>
              <a:ln>
                <a:prstDash val="solid"/>
              </a:ln>
            </c:spPr>
          </c:dPt>
          <c:dPt>
            <c:idx val="1"/>
            <c:invertIfNegative val="1"/>
            <c:bubble3D val="0"/>
            <c:spPr>
              <a:solidFill>
                <a:srgbClr val="FF8E8E"/>
              </a:solidFill>
              <a:ln>
                <a:prstDash val="solid"/>
              </a:ln>
            </c:spPr>
          </c:dPt>
          <c:dPt>
            <c:idx val="2"/>
            <c:invertIfNegative val="1"/>
            <c:bubble3D val="0"/>
            <c:spPr>
              <a:solidFill>
                <a:srgbClr val="FFB3B3"/>
              </a:solidFill>
              <a:ln>
                <a:prstDash val="solid"/>
              </a:ln>
            </c:spPr>
          </c:dPt>
          <c:dPt>
            <c:idx val="3"/>
            <c:invertIfNegative val="1"/>
            <c:bubble3D val="0"/>
            <c:spPr>
              <a:solidFill>
                <a:srgbClr val="F5A623"/>
              </a:solidFill>
              <a:ln>
                <a:prstDash val="solid"/>
              </a:ln>
            </c:spPr>
          </c:dPt>
          <c:dPt>
            <c:idx val="4"/>
            <c:invertIfNegative val="1"/>
            <c:bubble3D val="0"/>
            <c:spPr>
              <a:solidFill>
                <a:srgbClr val="FFD700"/>
              </a:solidFill>
              <a:ln>
                <a:prstDash val="solid"/>
              </a:ln>
            </c:spPr>
          </c:dPt>
          <c:dPt>
            <c:idx val="5"/>
            <c:invertIfNegative val="1"/>
            <c:bubble3D val="0"/>
            <c:spPr>
              <a:solidFill>
                <a:srgbClr val="00C97A"/>
              </a:solidFill>
              <a:ln>
                <a:prstDash val="solid"/>
              </a:ln>
            </c:spPr>
          </c:dPt>
          <c:dPt>
            <c:idx val="6"/>
            <c:invertIfNegative val="1"/>
            <c:bubble3D val="0"/>
            <c:spPr>
              <a:solidFill>
                <a:srgbClr val="4ECDC4"/>
              </a:solidFill>
              <a:ln>
                <a:prstDash val="solid"/>
              </a:ln>
            </c:spPr>
          </c:dPt>
          <c:dPt>
            <c:idx val="7"/>
            <c:invertIfNegative val="1"/>
            <c:bubble3D val="0"/>
            <c:spPr>
              <a:solidFill>
                <a:srgbClr val="A569BD"/>
              </a:solidFill>
              <a:ln>
                <a:prstDash val="solid"/>
              </a:ln>
            </c:spPr>
          </c:dPt>
          <c:cat>
            <c:strRef>
              <c:f>'ML Model Results'!$B$12:$B$19</c:f>
              <c:strCache>
                <c:ptCount val="8"/>
                <c:pt idx="0">
                  <c:v>Payment Attempts</c:v>
                </c:pt>
                <c:pt idx="1">
                  <c:v>Send Amount Log</c:v>
                </c:pt>
                <c:pt idx="2">
                  <c:v>Hour Of Day</c:v>
                </c:pt>
                <c:pt idx="3">
                  <c:v>Kyc Level</c:v>
                </c:pt>
                <c:pt idx="4">
                  <c:v>Fx Spread Pct</c:v>
                </c:pt>
                <c:pt idx="5">
                  <c:v>Is Weekend</c:v>
                </c:pt>
                <c:pt idx="6">
                  <c:v>Corridor Idx</c:v>
                </c:pt>
                <c:pt idx="7">
                  <c:v>Customer Tx Count</c:v>
                </c:pt>
              </c:strCache>
            </c:strRef>
          </c:cat>
          <c:val>
            <c:numRef>
              <c:f>'ML Model Results'!$C$12:$C$19</c:f>
              <c:numCache>
                <c:formatCode>General</c:formatCode>
                <c:ptCount val="8"/>
                <c:pt idx="0">
                  <c:v>0.312</c:v>
                </c:pt>
                <c:pt idx="1">
                  <c:v>0.24099999999999999</c:v>
                </c:pt>
                <c:pt idx="2">
                  <c:v>0.13800000000000001</c:v>
                </c:pt>
                <c:pt idx="3">
                  <c:v>0.10199999999999999</c:v>
                </c:pt>
                <c:pt idx="4">
                  <c:v>8.6999999999999994E-2</c:v>
                </c:pt>
                <c:pt idx="5">
                  <c:v>5.3999999999999999E-2</c:v>
                </c:pt>
                <c:pt idx="6">
                  <c:v>4.1000000000000002E-2</c:v>
                </c:pt>
                <c:pt idx="7">
                  <c:v>2.5000000000000001E-2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52767048"/>
        <c:axId val="452759600"/>
      </c:barChart>
      <c:catAx>
        <c:axId val="45276704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452759600"/>
        <c:crosses val="autoZero"/>
        <c:auto val="1"/>
        <c:lblAlgn val="ctr"/>
        <c:lblOffset val="100"/>
        <c:noMultiLvlLbl val="1"/>
      </c:catAx>
      <c:valAx>
        <c:axId val="452759600"/>
        <c:scaling>
          <c:orientation val="minMax"/>
        </c:scaling>
        <c:delete val="1"/>
        <c:axPos val="b"/>
        <c:majorGridlines/>
        <c:numFmt formatCode="General" sourceLinked="1"/>
        <c:majorTickMark val="none"/>
        <c:minorTickMark val="none"/>
        <c:tickLblPos val="nextTo"/>
        <c:crossAx val="452767048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1"/>
  <c:style val="10"/>
  <c:chart>
    <c:title>
      <c:tx>
        <c:rich>
          <a:bodyPr/>
          <a:lstStyle/>
          <a:p>
            <a:pPr>
              <a:defRPr/>
            </a:pPr>
            <a:r>
              <a:rPr lang="en-ZA"/>
              <a:t>Customer Churn — Feature Importance</a:t>
            </a:r>
          </a:p>
        </c:rich>
      </c:tx>
      <c:layout/>
      <c:overlay val="1"/>
    </c:title>
    <c:autoTitleDeleted val="0"/>
    <c:plotArea>
      <c:layout/>
      <c:barChart>
        <c:barDir val="bar"/>
        <c:grouping val="clustered"/>
        <c:varyColors val="1"/>
        <c:ser>
          <c:idx val="0"/>
          <c:order val="0"/>
          <c:tx>
            <c:strRef>
              <c:f>'ML Model Results'!$G$11</c:f>
              <c:strCache>
                <c:ptCount val="1"/>
                <c:pt idx="0">
                  <c:v>Importance</c:v>
                </c:pt>
              </c:strCache>
            </c:strRef>
          </c:tx>
          <c:spPr>
            <a:ln>
              <a:prstDash val="solid"/>
            </a:ln>
          </c:spPr>
          <c:invertIfNegative val="1"/>
          <c:dPt>
            <c:idx val="0"/>
            <c:invertIfNegative val="1"/>
            <c:bubble3D val="0"/>
            <c:spPr>
              <a:solidFill>
                <a:srgbClr val="4ECDC4"/>
              </a:solidFill>
              <a:ln>
                <a:prstDash val="solid"/>
              </a:ln>
            </c:spPr>
          </c:dPt>
          <c:dPt>
            <c:idx val="1"/>
            <c:invertIfNegative val="1"/>
            <c:bubble3D val="0"/>
            <c:spPr>
              <a:solidFill>
                <a:srgbClr val="00C97A"/>
              </a:solidFill>
              <a:ln>
                <a:prstDash val="solid"/>
              </a:ln>
            </c:spPr>
          </c:dPt>
          <c:dPt>
            <c:idx val="2"/>
            <c:invertIfNegative val="1"/>
            <c:bubble3D val="0"/>
            <c:spPr>
              <a:solidFill>
                <a:srgbClr val="F5A623"/>
              </a:solidFill>
              <a:ln>
                <a:prstDash val="solid"/>
              </a:ln>
            </c:spPr>
          </c:dPt>
          <c:dPt>
            <c:idx val="3"/>
            <c:invertIfNegative val="1"/>
            <c:bubble3D val="0"/>
            <c:spPr>
              <a:solidFill>
                <a:srgbClr val="A569BD"/>
              </a:solidFill>
              <a:ln>
                <a:prstDash val="solid"/>
              </a:ln>
            </c:spPr>
          </c:dPt>
          <c:dPt>
            <c:idx val="4"/>
            <c:invertIfNegative val="1"/>
            <c:bubble3D val="0"/>
            <c:spPr>
              <a:solidFill>
                <a:srgbClr val="FF6B6B"/>
              </a:solidFill>
              <a:ln>
                <a:prstDash val="solid"/>
              </a:ln>
            </c:spPr>
          </c:dPt>
          <c:dPt>
            <c:idx val="5"/>
            <c:invertIfNegative val="1"/>
            <c:bubble3D val="0"/>
            <c:spPr>
              <a:solidFill>
                <a:srgbClr val="3498DB"/>
              </a:solidFill>
              <a:ln>
                <a:prstDash val="solid"/>
              </a:ln>
            </c:spPr>
          </c:dPt>
          <c:dPt>
            <c:idx val="6"/>
            <c:invertIfNegative val="1"/>
            <c:bubble3D val="0"/>
            <c:spPr>
              <a:solidFill>
                <a:srgbClr val="1ABC9C"/>
              </a:solidFill>
              <a:ln>
                <a:prstDash val="solid"/>
              </a:ln>
            </c:spPr>
          </c:dPt>
          <c:dPt>
            <c:idx val="7"/>
            <c:invertIfNegative val="1"/>
            <c:bubble3D val="0"/>
            <c:spPr>
              <a:solidFill>
                <a:srgbClr val="E67E22"/>
              </a:solidFill>
              <a:ln>
                <a:prstDash val="solid"/>
              </a:ln>
            </c:spPr>
          </c:dPt>
          <c:cat>
            <c:strRef>
              <c:f>'ML Model Results'!$F$12:$F$19</c:f>
              <c:strCache>
                <c:ptCount val="8"/>
                <c:pt idx="0">
                  <c:v>Days Since Last</c:v>
                </c:pt>
                <c:pt idx="1">
                  <c:v>Monthly Tx Rate</c:v>
                </c:pt>
                <c:pt idx="2">
                  <c:v>Engagement Score</c:v>
                </c:pt>
                <c:pt idx="3">
                  <c:v>Total Transfers</c:v>
                </c:pt>
                <c:pt idx="4">
                  <c:v>Wallet Balance</c:v>
                </c:pt>
                <c:pt idx="5">
                  <c:v>Kyc Level</c:v>
                </c:pt>
                <c:pt idx="6">
                  <c:v>Distinct Corridors</c:v>
                </c:pt>
                <c:pt idx="7">
                  <c:v>Card Transactions</c:v>
                </c:pt>
              </c:strCache>
            </c:strRef>
          </c:cat>
          <c:val>
            <c:numRef>
              <c:f>'ML Model Results'!$G$12:$G$19</c:f>
              <c:numCache>
                <c:formatCode>General</c:formatCode>
                <c:ptCount val="8"/>
                <c:pt idx="0">
                  <c:v>0.42099999999999999</c:v>
                </c:pt>
                <c:pt idx="1">
                  <c:v>0.19800000000000001</c:v>
                </c:pt>
                <c:pt idx="2">
                  <c:v>0.14199999999999999</c:v>
                </c:pt>
                <c:pt idx="3">
                  <c:v>9.8000000000000004E-2</c:v>
                </c:pt>
                <c:pt idx="4">
                  <c:v>7.0999999999999994E-2</c:v>
                </c:pt>
                <c:pt idx="5">
                  <c:v>3.7999999999999999E-2</c:v>
                </c:pt>
                <c:pt idx="6">
                  <c:v>2.1999999999999999E-2</c:v>
                </c:pt>
                <c:pt idx="7">
                  <c:v>0.01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52362520"/>
        <c:axId val="452360952"/>
      </c:barChart>
      <c:catAx>
        <c:axId val="45236252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452360952"/>
        <c:crosses val="autoZero"/>
        <c:auto val="1"/>
        <c:lblAlgn val="ctr"/>
        <c:lblOffset val="100"/>
        <c:noMultiLvlLbl val="1"/>
      </c:catAx>
      <c:valAx>
        <c:axId val="452360952"/>
        <c:scaling>
          <c:orientation val="minMax"/>
        </c:scaling>
        <c:delete val="1"/>
        <c:axPos val="b"/>
        <c:majorGridlines/>
        <c:numFmt formatCode="General" sourceLinked="1"/>
        <c:majorTickMark val="none"/>
        <c:minorTickMark val="none"/>
        <c:tickLblPos val="nextTo"/>
        <c:crossAx val="45236252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1"/>
  <c:style val="10"/>
  <c:chart>
    <c:title>
      <c:tx>
        <c:rich>
          <a:bodyPr/>
          <a:lstStyle/>
          <a:p>
            <a:pPr>
              <a:defRPr/>
            </a:pPr>
            <a:r>
              <a:rPr lang="en-ZA"/>
              <a:t>Credit Risk PD — Feature Importance</a:t>
            </a:r>
          </a:p>
        </c:rich>
      </c:tx>
      <c:layout/>
      <c:overlay val="1"/>
    </c:title>
    <c:autoTitleDeleted val="0"/>
    <c:plotArea>
      <c:layout/>
      <c:barChart>
        <c:barDir val="bar"/>
        <c:grouping val="clustered"/>
        <c:varyColors val="1"/>
        <c:ser>
          <c:idx val="0"/>
          <c:order val="0"/>
          <c:tx>
            <c:strRef>
              <c:f>'ML Model Results'!$K$11</c:f>
              <c:strCache>
                <c:ptCount val="1"/>
                <c:pt idx="0">
                  <c:v>Importance</c:v>
                </c:pt>
              </c:strCache>
            </c:strRef>
          </c:tx>
          <c:spPr>
            <a:ln>
              <a:prstDash val="solid"/>
            </a:ln>
          </c:spPr>
          <c:invertIfNegative val="1"/>
          <c:dPt>
            <c:idx val="0"/>
            <c:invertIfNegative val="1"/>
            <c:bubble3D val="0"/>
            <c:spPr>
              <a:solidFill>
                <a:srgbClr val="F5A623"/>
              </a:solidFill>
              <a:ln>
                <a:prstDash val="solid"/>
              </a:ln>
            </c:spPr>
          </c:dPt>
          <c:dPt>
            <c:idx val="1"/>
            <c:invertIfNegative val="1"/>
            <c:bubble3D val="0"/>
            <c:spPr>
              <a:solidFill>
                <a:srgbClr val="FF6B6B"/>
              </a:solidFill>
              <a:ln>
                <a:prstDash val="solid"/>
              </a:ln>
            </c:spPr>
          </c:dPt>
          <c:dPt>
            <c:idx val="2"/>
            <c:invertIfNegative val="1"/>
            <c:bubble3D val="0"/>
            <c:spPr>
              <a:solidFill>
                <a:srgbClr val="00C97A"/>
              </a:solidFill>
              <a:ln>
                <a:prstDash val="solid"/>
              </a:ln>
            </c:spPr>
          </c:dPt>
          <c:dPt>
            <c:idx val="3"/>
            <c:invertIfNegative val="1"/>
            <c:bubble3D val="0"/>
            <c:spPr>
              <a:solidFill>
                <a:srgbClr val="A569BD"/>
              </a:solidFill>
              <a:ln>
                <a:prstDash val="solid"/>
              </a:ln>
            </c:spPr>
          </c:dPt>
          <c:dPt>
            <c:idx val="4"/>
            <c:invertIfNegative val="1"/>
            <c:bubble3D val="0"/>
            <c:spPr>
              <a:solidFill>
                <a:srgbClr val="4ECDC4"/>
              </a:solidFill>
              <a:ln>
                <a:prstDash val="solid"/>
              </a:ln>
            </c:spPr>
          </c:dPt>
          <c:dPt>
            <c:idx val="5"/>
            <c:invertIfNegative val="1"/>
            <c:bubble3D val="0"/>
            <c:spPr>
              <a:solidFill>
                <a:srgbClr val="3498DB"/>
              </a:solidFill>
              <a:ln>
                <a:prstDash val="solid"/>
              </a:ln>
            </c:spPr>
          </c:dPt>
          <c:dPt>
            <c:idx val="6"/>
            <c:invertIfNegative val="1"/>
            <c:bubble3D val="0"/>
            <c:spPr>
              <a:solidFill>
                <a:srgbClr val="E74C3C"/>
              </a:solidFill>
              <a:ln>
                <a:prstDash val="solid"/>
              </a:ln>
            </c:spPr>
          </c:dPt>
          <c:cat>
            <c:strRef>
              <c:f>'ML Model Results'!$J$12:$J$18</c:f>
              <c:strCache>
                <c:ptCount val="7"/>
                <c:pt idx="0">
                  <c:v>Dti Ratio</c:v>
                </c:pt>
                <c:pt idx="1">
                  <c:v>Prev Dpd</c:v>
                </c:pt>
                <c:pt idx="2">
                  <c:v>Employment Months</c:v>
                </c:pt>
                <c:pt idx="3">
                  <c:v>Income Log</c:v>
                </c:pt>
                <c:pt idx="4">
                  <c:v>Loan Count</c:v>
                </c:pt>
                <c:pt idx="5">
                  <c:v>Principal Log</c:v>
                </c:pt>
                <c:pt idx="6">
                  <c:v>Kyc Level</c:v>
                </c:pt>
              </c:strCache>
            </c:strRef>
          </c:cat>
          <c:val>
            <c:numRef>
              <c:f>'ML Model Results'!$K$12:$K$18</c:f>
              <c:numCache>
                <c:formatCode>General</c:formatCode>
                <c:ptCount val="7"/>
                <c:pt idx="0">
                  <c:v>0.35799999999999998</c:v>
                </c:pt>
                <c:pt idx="1">
                  <c:v>0.28100000000000003</c:v>
                </c:pt>
                <c:pt idx="2">
                  <c:v>0.14199999999999999</c:v>
                </c:pt>
                <c:pt idx="3">
                  <c:v>9.8000000000000004E-2</c:v>
                </c:pt>
                <c:pt idx="4">
                  <c:v>7.0999999999999994E-2</c:v>
                </c:pt>
                <c:pt idx="5">
                  <c:v>3.3000000000000002E-2</c:v>
                </c:pt>
                <c:pt idx="6">
                  <c:v>1.7000000000000001E-2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52362912"/>
        <c:axId val="452363304"/>
      </c:barChart>
      <c:catAx>
        <c:axId val="452362912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452363304"/>
        <c:crosses val="autoZero"/>
        <c:auto val="1"/>
        <c:lblAlgn val="ctr"/>
        <c:lblOffset val="100"/>
        <c:noMultiLvlLbl val="1"/>
      </c:catAx>
      <c:valAx>
        <c:axId val="452363304"/>
        <c:scaling>
          <c:orientation val="minMax"/>
        </c:scaling>
        <c:delete val="1"/>
        <c:axPos val="b"/>
        <c:majorGridlines/>
        <c:numFmt formatCode="General" sourceLinked="1"/>
        <c:majorTickMark val="none"/>
        <c:minorTickMark val="none"/>
        <c:tickLblPos val="nextTo"/>
        <c:crossAx val="452362912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1"/>
  <c:style val="10"/>
  <c:chart>
    <c:title>
      <c:tx>
        <c:rich>
          <a:bodyPr/>
          <a:lstStyle/>
          <a:p>
            <a:pPr>
              <a:defRPr/>
            </a:pPr>
            <a:r>
              <a:rPr lang="en-ZA"/>
              <a:t>Customer Distribution by LTV Band</a:t>
            </a:r>
          </a:p>
        </c:rich>
      </c:tx>
      <c:layout/>
      <c:overlay val="1"/>
    </c:title>
    <c:autoTitleDeleted val="0"/>
    <c:plotArea>
      <c:layout/>
      <c:pieChart>
        <c:varyColors val="1"/>
        <c:ser>
          <c:idx val="0"/>
          <c:order val="0"/>
          <c:spPr>
            <a:ln>
              <a:prstDash val="solid"/>
            </a:ln>
          </c:spPr>
          <c:dPt>
            <c:idx val="0"/>
            <c:bubble3D val="0"/>
            <c:spPr>
              <a:solidFill>
                <a:srgbClr val="FFD700"/>
              </a:solidFill>
              <a:ln>
                <a:prstDash val="solid"/>
              </a:ln>
            </c:spPr>
          </c:dPt>
          <c:dPt>
            <c:idx val="1"/>
            <c:bubble3D val="0"/>
            <c:spPr>
              <a:solidFill>
                <a:srgbClr val="F5A623"/>
              </a:solidFill>
              <a:ln>
                <a:prstDash val="solid"/>
              </a:ln>
            </c:spPr>
          </c:dPt>
          <c:dPt>
            <c:idx val="2"/>
            <c:bubble3D val="0"/>
            <c:spPr>
              <a:solidFill>
                <a:srgbClr val="A569BD"/>
              </a:solidFill>
              <a:ln>
                <a:prstDash val="solid"/>
              </a:ln>
            </c:spPr>
          </c:dPt>
          <c:dPt>
            <c:idx val="3"/>
            <c:bubble3D val="0"/>
            <c:spPr>
              <a:solidFill>
                <a:srgbClr val="4ECDC4"/>
              </a:solidFill>
              <a:ln>
                <a:prstDash val="solid"/>
              </a:ln>
            </c:spPr>
          </c:dPt>
          <c:dPt>
            <c:idx val="4"/>
            <c:bubble3D val="0"/>
            <c:spPr>
              <a:solidFill>
                <a:srgbClr val="BDC3C7"/>
              </a:solidFill>
              <a:ln>
                <a:prstDash val="solid"/>
              </a:ln>
            </c:spPr>
          </c:dPt>
          <c:cat>
            <c:strRef>
              <c:f>'Customer 360'!$B$5:$B$9</c:f>
              <c:strCache>
                <c:ptCount val="5"/>
                <c:pt idx="0">
                  <c:v>Champion</c:v>
                </c:pt>
                <c:pt idx="1">
                  <c:v>High Value</c:v>
                </c:pt>
                <c:pt idx="2">
                  <c:v>Medium Value</c:v>
                </c:pt>
                <c:pt idx="3">
                  <c:v>Low Value</c:v>
                </c:pt>
                <c:pt idx="4">
                  <c:v>Zero Value</c:v>
                </c:pt>
              </c:strCache>
            </c:strRef>
          </c:cat>
          <c:val>
            <c:numRef>
              <c:f>'Customer 360'!$F$5:$F$9</c:f>
              <c:numCache>
                <c:formatCode>0.0"%"</c:formatCode>
                <c:ptCount val="5"/>
                <c:pt idx="0">
                  <c:v>2.8</c:v>
                </c:pt>
                <c:pt idx="1">
                  <c:v>18.399999999999999</c:v>
                </c:pt>
                <c:pt idx="2">
                  <c:v>44.1</c:v>
                </c:pt>
                <c:pt idx="3">
                  <c:v>26.3</c:v>
                </c:pt>
                <c:pt idx="4">
                  <c:v>8.4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</c:plotArea>
    <c:legend>
      <c:legendPos val="r"/>
      <c:layout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.xml"/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17</xdr:row>
      <xdr:rowOff>0</xdr:rowOff>
    </xdr:from>
    <xdr:ext cx="6480000" cy="432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9</xdr:col>
      <xdr:colOff>0</xdr:colOff>
      <xdr:row>17</xdr:row>
      <xdr:rowOff>0</xdr:rowOff>
    </xdr:from>
    <xdr:ext cx="6480000" cy="3600000"/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23</xdr:row>
      <xdr:rowOff>0</xdr:rowOff>
    </xdr:from>
    <xdr:ext cx="7200000" cy="576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21</xdr:row>
      <xdr:rowOff>0</xdr:rowOff>
    </xdr:from>
    <xdr:ext cx="5040000" cy="396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5</xdr:col>
      <xdr:colOff>0</xdr:colOff>
      <xdr:row>21</xdr:row>
      <xdr:rowOff>0</xdr:rowOff>
    </xdr:from>
    <xdr:ext cx="5040000" cy="3960000"/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9</xdr:col>
      <xdr:colOff>0</xdr:colOff>
      <xdr:row>21</xdr:row>
      <xdr:rowOff>0</xdr:rowOff>
    </xdr:from>
    <xdr:ext cx="5040000" cy="3960000"/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76200</xdr:colOff>
      <xdr:row>17</xdr:row>
      <xdr:rowOff>152400</xdr:rowOff>
    </xdr:from>
    <xdr:ext cx="5040000" cy="432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C97A"/>
  </sheetPr>
  <dimension ref="B1:Q16"/>
  <sheetViews>
    <sheetView showGridLines="0" topLeftCell="A19" workbookViewId="0"/>
  </sheetViews>
  <sheetFormatPr defaultRowHeight="15" x14ac:dyDescent="0.25"/>
  <cols>
    <col min="1" max="1" width="2" customWidth="1"/>
  </cols>
  <sheetData>
    <row r="1" spans="2:17" ht="20.100000000000001" customHeight="1" x14ac:dyDescent="0.25">
      <c r="B1" s="52" t="s">
        <v>0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</row>
    <row r="2" spans="2:17" ht="20.100000000000001" customHeight="1" x14ac:dyDescent="0.25">
      <c r="B2" s="42"/>
      <c r="C2" s="42"/>
      <c r="D2" s="42"/>
      <c r="E2" s="42"/>
      <c r="F2" s="42"/>
      <c r="G2" s="42"/>
      <c r="H2" s="42"/>
      <c r="I2" s="42"/>
      <c r="J2" s="42"/>
      <c r="K2" s="42"/>
      <c r="L2" s="42"/>
      <c r="M2" s="42"/>
      <c r="N2" s="42"/>
    </row>
    <row r="3" spans="2:17" ht="18" customHeight="1" x14ac:dyDescent="0.25">
      <c r="B3" s="51" t="s">
        <v>1</v>
      </c>
      <c r="C3" s="42"/>
      <c r="D3" s="42"/>
      <c r="E3" s="42"/>
      <c r="F3" s="42"/>
      <c r="G3" s="42"/>
      <c r="H3" s="42"/>
      <c r="I3" s="42"/>
      <c r="J3" s="42"/>
      <c r="K3" s="42"/>
      <c r="L3" s="42"/>
      <c r="M3" s="42"/>
      <c r="N3" s="42"/>
    </row>
    <row r="5" spans="2:17" ht="14.1" customHeight="1" x14ac:dyDescent="0.25">
      <c r="B5" s="43" t="s">
        <v>2</v>
      </c>
      <c r="C5" s="42"/>
      <c r="D5" s="50" t="s">
        <v>3</v>
      </c>
      <c r="E5" s="42"/>
      <c r="F5" s="48" t="s">
        <v>4</v>
      </c>
      <c r="G5" s="42"/>
      <c r="H5" s="54" t="s">
        <v>5</v>
      </c>
      <c r="I5" s="42"/>
      <c r="J5" s="43" t="s">
        <v>6</v>
      </c>
      <c r="K5" s="42"/>
      <c r="L5" s="49" t="s">
        <v>7</v>
      </c>
      <c r="M5" s="42"/>
      <c r="N5" s="50" t="s">
        <v>8</v>
      </c>
      <c r="O5" s="42"/>
      <c r="P5" s="48" t="s">
        <v>9</v>
      </c>
      <c r="Q5" s="42"/>
    </row>
    <row r="6" spans="2:17" ht="36" customHeight="1" x14ac:dyDescent="0.25">
      <c r="B6" s="47" t="s">
        <v>10</v>
      </c>
      <c r="C6" s="42"/>
      <c r="D6" s="45" t="s">
        <v>11</v>
      </c>
      <c r="E6" s="42"/>
      <c r="F6" s="44" t="s">
        <v>12</v>
      </c>
      <c r="G6" s="42"/>
      <c r="H6" s="46" t="s">
        <v>13</v>
      </c>
      <c r="I6" s="42"/>
      <c r="J6" s="47" t="s">
        <v>14</v>
      </c>
      <c r="K6" s="42"/>
      <c r="L6" s="53" t="s">
        <v>15</v>
      </c>
      <c r="M6" s="42"/>
      <c r="N6" s="45" t="s">
        <v>16</v>
      </c>
      <c r="O6" s="42"/>
      <c r="P6" s="44" t="s">
        <v>17</v>
      </c>
      <c r="Q6" s="42"/>
    </row>
    <row r="7" spans="2:17" ht="9.9499999999999993" customHeight="1" x14ac:dyDescent="0.25">
      <c r="B7" s="41"/>
      <c r="C7" s="42"/>
      <c r="D7" s="41"/>
      <c r="E7" s="42"/>
      <c r="F7" s="41"/>
      <c r="G7" s="42"/>
      <c r="H7" s="41"/>
      <c r="I7" s="42"/>
      <c r="J7" s="41"/>
      <c r="K7" s="42"/>
      <c r="L7" s="41"/>
      <c r="M7" s="42"/>
      <c r="N7" s="41"/>
      <c r="O7" s="42"/>
      <c r="P7" s="41"/>
      <c r="Q7" s="42"/>
    </row>
    <row r="9" spans="2:17" ht="15.95" customHeight="1" x14ac:dyDescent="0.3">
      <c r="B9" s="1" t="s">
        <v>18</v>
      </c>
    </row>
    <row r="10" spans="2:17" ht="32.1" customHeight="1" x14ac:dyDescent="0.25">
      <c r="B10" s="2" t="s">
        <v>19</v>
      </c>
      <c r="C10" s="2" t="s">
        <v>20</v>
      </c>
      <c r="D10" s="2" t="s">
        <v>21</v>
      </c>
      <c r="E10" s="2" t="s">
        <v>22</v>
      </c>
      <c r="F10" s="2" t="s">
        <v>23</v>
      </c>
      <c r="G10" s="2" t="s">
        <v>24</v>
      </c>
      <c r="H10" s="2" t="s">
        <v>25</v>
      </c>
      <c r="I10" s="2" t="s">
        <v>26</v>
      </c>
    </row>
    <row r="11" spans="2:17" ht="20.100000000000001" customHeight="1" x14ac:dyDescent="0.25">
      <c r="B11" s="3" t="s">
        <v>27</v>
      </c>
      <c r="C11" s="3">
        <v>8.1999999999999993</v>
      </c>
      <c r="D11" s="3">
        <v>4.0999999999999996</v>
      </c>
      <c r="E11" s="3">
        <v>12.3</v>
      </c>
      <c r="F11" s="3">
        <v>1.89</v>
      </c>
      <c r="G11" s="3">
        <v>0.82</v>
      </c>
      <c r="H11" s="4">
        <v>76.099999999999994</v>
      </c>
      <c r="I11" s="5">
        <v>4.0999999999999996</v>
      </c>
    </row>
    <row r="12" spans="2:17" ht="20.100000000000001" customHeight="1" x14ac:dyDescent="0.25">
      <c r="B12" s="6" t="s">
        <v>28</v>
      </c>
      <c r="C12" s="6">
        <v>8.9</v>
      </c>
      <c r="D12" s="6">
        <v>4.5</v>
      </c>
      <c r="E12" s="6">
        <v>13.4</v>
      </c>
      <c r="F12" s="6">
        <v>2.0499999999999998</v>
      </c>
      <c r="G12" s="6">
        <v>0.9</v>
      </c>
      <c r="H12" s="7">
        <v>76.8</v>
      </c>
      <c r="I12" s="8">
        <v>3.8</v>
      </c>
    </row>
    <row r="13" spans="2:17" ht="20.100000000000001" customHeight="1" x14ac:dyDescent="0.25">
      <c r="B13" s="3" t="s">
        <v>29</v>
      </c>
      <c r="C13" s="3">
        <v>9.4</v>
      </c>
      <c r="D13" s="3">
        <v>4.8</v>
      </c>
      <c r="E13" s="3">
        <v>14.2</v>
      </c>
      <c r="F13" s="3">
        <v>2.16</v>
      </c>
      <c r="G13" s="3">
        <v>0.96</v>
      </c>
      <c r="H13" s="4">
        <v>77.400000000000006</v>
      </c>
      <c r="I13" s="5">
        <v>3.5</v>
      </c>
    </row>
    <row r="14" spans="2:17" ht="20.100000000000001" customHeight="1" x14ac:dyDescent="0.25">
      <c r="B14" s="6" t="s">
        <v>30</v>
      </c>
      <c r="C14" s="6">
        <v>10.1</v>
      </c>
      <c r="D14" s="6">
        <v>5.2</v>
      </c>
      <c r="E14" s="6">
        <v>15.3</v>
      </c>
      <c r="F14" s="6">
        <v>2.3199999999999998</v>
      </c>
      <c r="G14" s="6">
        <v>1.04</v>
      </c>
      <c r="H14" s="7">
        <v>78</v>
      </c>
      <c r="I14" s="8">
        <v>3.2</v>
      </c>
    </row>
    <row r="15" spans="2:17" ht="20.100000000000001" customHeight="1" x14ac:dyDescent="0.25">
      <c r="B15" s="3" t="s">
        <v>31</v>
      </c>
      <c r="C15" s="3">
        <v>10.8</v>
      </c>
      <c r="D15" s="3">
        <v>5.6</v>
      </c>
      <c r="E15" s="3">
        <v>16.399999999999999</v>
      </c>
      <c r="F15" s="3">
        <v>2.48</v>
      </c>
      <c r="G15" s="3">
        <v>1.1200000000000001</v>
      </c>
      <c r="H15" s="4">
        <v>78.599999999999994</v>
      </c>
      <c r="I15" s="5">
        <v>3</v>
      </c>
    </row>
    <row r="16" spans="2:17" ht="20.100000000000001" customHeight="1" x14ac:dyDescent="0.25">
      <c r="B16" s="6" t="s">
        <v>32</v>
      </c>
      <c r="C16" s="6">
        <v>11.4</v>
      </c>
      <c r="D16" s="6">
        <v>5.9</v>
      </c>
      <c r="E16" s="6">
        <v>17.3</v>
      </c>
      <c r="F16" s="6">
        <v>2.62</v>
      </c>
      <c r="G16" s="6">
        <v>1.18</v>
      </c>
      <c r="H16" s="7">
        <v>79.2</v>
      </c>
      <c r="I16" s="8">
        <v>2.8</v>
      </c>
    </row>
  </sheetData>
  <mergeCells count="26">
    <mergeCell ref="B1:N2"/>
    <mergeCell ref="D7:E7"/>
    <mergeCell ref="P7:Q7"/>
    <mergeCell ref="H7:I7"/>
    <mergeCell ref="J7:K7"/>
    <mergeCell ref="B6:C6"/>
    <mergeCell ref="L6:M6"/>
    <mergeCell ref="B5:C5"/>
    <mergeCell ref="N6:O6"/>
    <mergeCell ref="D5:E5"/>
    <mergeCell ref="H5:I5"/>
    <mergeCell ref="P5:Q5"/>
    <mergeCell ref="P6:Q6"/>
    <mergeCell ref="F5:G5"/>
    <mergeCell ref="L5:M5"/>
    <mergeCell ref="N5:O5"/>
    <mergeCell ref="B3:N3"/>
    <mergeCell ref="L7:M7"/>
    <mergeCell ref="B7:C7"/>
    <mergeCell ref="J5:K5"/>
    <mergeCell ref="N7:O7"/>
    <mergeCell ref="F6:G6"/>
    <mergeCell ref="F7:G7"/>
    <mergeCell ref="D6:E6"/>
    <mergeCell ref="H6:I6"/>
    <mergeCell ref="J6:K6"/>
  </mergeCells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5A623"/>
  </sheetPr>
  <dimension ref="B1:L21"/>
  <sheetViews>
    <sheetView showGridLines="0" workbookViewId="0"/>
  </sheetViews>
  <sheetFormatPr defaultRowHeight="15" x14ac:dyDescent="0.25"/>
  <cols>
    <col min="1" max="1" width="2" customWidth="1"/>
  </cols>
  <sheetData>
    <row r="1" spans="2:12" ht="21.95" customHeight="1" x14ac:dyDescent="0.25">
      <c r="B1" s="55" t="s">
        <v>33</v>
      </c>
      <c r="C1" s="42"/>
      <c r="D1" s="42"/>
      <c r="E1" s="42"/>
      <c r="F1" s="42"/>
      <c r="G1" s="42"/>
      <c r="H1" s="42"/>
      <c r="I1" s="42"/>
      <c r="J1" s="42"/>
      <c r="K1" s="42"/>
      <c r="L1" s="42"/>
    </row>
    <row r="2" spans="2:12" ht="21.95" customHeight="1" x14ac:dyDescent="0.25">
      <c r="B2" s="42"/>
      <c r="C2" s="42"/>
      <c r="D2" s="42"/>
      <c r="E2" s="42"/>
      <c r="F2" s="42"/>
      <c r="G2" s="42"/>
      <c r="H2" s="42"/>
      <c r="I2" s="42"/>
      <c r="J2" s="42"/>
      <c r="K2" s="42"/>
      <c r="L2" s="42"/>
    </row>
    <row r="4" spans="2:12" ht="32.1" customHeight="1" x14ac:dyDescent="0.25">
      <c r="B4" s="2" t="s">
        <v>34</v>
      </c>
      <c r="C4" s="2" t="s">
        <v>35</v>
      </c>
      <c r="D4" s="2" t="s">
        <v>36</v>
      </c>
      <c r="E4" s="2" t="s">
        <v>37</v>
      </c>
      <c r="F4" s="2" t="s">
        <v>38</v>
      </c>
      <c r="G4" s="2" t="s">
        <v>39</v>
      </c>
      <c r="H4" s="2" t="s">
        <v>40</v>
      </c>
      <c r="I4" s="2" t="s">
        <v>41</v>
      </c>
      <c r="J4" s="2" t="s">
        <v>42</v>
      </c>
      <c r="K4" s="2" t="s">
        <v>43</v>
      </c>
    </row>
    <row r="5" spans="2:12" ht="20.100000000000001" customHeight="1" x14ac:dyDescent="0.25">
      <c r="B5" s="3" t="s">
        <v>44</v>
      </c>
      <c r="C5" s="3" t="s">
        <v>45</v>
      </c>
      <c r="D5" s="5" t="s">
        <v>46</v>
      </c>
      <c r="E5" s="3" t="s">
        <v>47</v>
      </c>
      <c r="F5" s="3">
        <v>18.399999999999999</v>
      </c>
      <c r="G5" s="3">
        <v>820000</v>
      </c>
      <c r="H5" s="9">
        <v>3.2</v>
      </c>
      <c r="I5" s="9">
        <v>78.2</v>
      </c>
      <c r="J5" s="3">
        <v>5.41</v>
      </c>
      <c r="K5" s="3">
        <v>1240</v>
      </c>
    </row>
    <row r="6" spans="2:12" ht="20.100000000000001" customHeight="1" x14ac:dyDescent="0.25">
      <c r="B6" s="6" t="s">
        <v>48</v>
      </c>
      <c r="C6" s="6" t="s">
        <v>49</v>
      </c>
      <c r="D6" s="8" t="s">
        <v>46</v>
      </c>
      <c r="E6" s="6" t="s">
        <v>47</v>
      </c>
      <c r="F6" s="6">
        <v>12.1</v>
      </c>
      <c r="G6" s="6">
        <v>540000</v>
      </c>
      <c r="H6" s="7">
        <v>2.8</v>
      </c>
      <c r="I6" s="10">
        <v>76.8</v>
      </c>
      <c r="J6" s="6">
        <v>5.38</v>
      </c>
      <c r="K6" s="6">
        <v>1150</v>
      </c>
    </row>
    <row r="7" spans="2:12" ht="20.100000000000001" customHeight="1" x14ac:dyDescent="0.25">
      <c r="B7" s="3" t="s">
        <v>50</v>
      </c>
      <c r="C7" s="3" t="s">
        <v>51</v>
      </c>
      <c r="D7" s="5" t="s">
        <v>46</v>
      </c>
      <c r="E7" s="3" t="s">
        <v>52</v>
      </c>
      <c r="F7" s="3">
        <v>8.6999999999999993</v>
      </c>
      <c r="G7" s="3">
        <v>390000</v>
      </c>
      <c r="H7" s="4">
        <v>2.1</v>
      </c>
      <c r="I7" s="9">
        <v>79.400000000000006</v>
      </c>
      <c r="J7" s="3">
        <v>5.39</v>
      </c>
      <c r="K7" s="3">
        <v>1320</v>
      </c>
    </row>
    <row r="8" spans="2:12" ht="20.100000000000001" customHeight="1" x14ac:dyDescent="0.25">
      <c r="B8" s="6" t="s">
        <v>53</v>
      </c>
      <c r="C8" s="6" t="s">
        <v>54</v>
      </c>
      <c r="D8" s="8" t="s">
        <v>46</v>
      </c>
      <c r="E8" s="6" t="s">
        <v>52</v>
      </c>
      <c r="F8" s="6">
        <v>6.2</v>
      </c>
      <c r="G8" s="6">
        <v>280000</v>
      </c>
      <c r="H8" s="10">
        <v>3.5</v>
      </c>
      <c r="I8" s="10">
        <v>77.099999999999994</v>
      </c>
      <c r="J8" s="6">
        <v>5.52</v>
      </c>
      <c r="K8" s="6">
        <v>980</v>
      </c>
    </row>
    <row r="9" spans="2:12" ht="20.100000000000001" customHeight="1" x14ac:dyDescent="0.25">
      <c r="B9" s="3" t="s">
        <v>55</v>
      </c>
      <c r="C9" s="3" t="s">
        <v>56</v>
      </c>
      <c r="D9" s="9" t="s">
        <v>57</v>
      </c>
      <c r="E9" s="3" t="s">
        <v>47</v>
      </c>
      <c r="F9" s="3">
        <v>4.8</v>
      </c>
      <c r="G9" s="3">
        <v>195000</v>
      </c>
      <c r="H9" s="4">
        <v>1.8</v>
      </c>
      <c r="I9" s="4">
        <v>82.3</v>
      </c>
      <c r="J9" s="3">
        <v>6.21</v>
      </c>
      <c r="K9" s="3">
        <v>1680</v>
      </c>
    </row>
    <row r="10" spans="2:12" ht="20.100000000000001" customHeight="1" x14ac:dyDescent="0.25">
      <c r="B10" s="6" t="s">
        <v>58</v>
      </c>
      <c r="C10" s="6" t="s">
        <v>59</v>
      </c>
      <c r="D10" s="10" t="s">
        <v>57</v>
      </c>
      <c r="E10" s="6" t="s">
        <v>60</v>
      </c>
      <c r="F10" s="6">
        <v>3.1</v>
      </c>
      <c r="G10" s="6">
        <v>128000</v>
      </c>
      <c r="H10" s="7">
        <v>1.4</v>
      </c>
      <c r="I10" s="7">
        <v>84.1</v>
      </c>
      <c r="J10" s="6">
        <v>6.05</v>
      </c>
      <c r="K10" s="6">
        <v>1510</v>
      </c>
    </row>
    <row r="11" spans="2:12" ht="20.100000000000001" customHeight="1" x14ac:dyDescent="0.25">
      <c r="B11" s="3" t="s">
        <v>61</v>
      </c>
      <c r="C11" s="3" t="s">
        <v>62</v>
      </c>
      <c r="D11" s="9" t="s">
        <v>57</v>
      </c>
      <c r="E11" s="3" t="s">
        <v>47</v>
      </c>
      <c r="F11" s="3">
        <v>5.4</v>
      </c>
      <c r="G11" s="3">
        <v>210000</v>
      </c>
      <c r="H11" s="4">
        <v>2</v>
      </c>
      <c r="I11" s="4">
        <v>81.7</v>
      </c>
      <c r="J11" s="3">
        <v>5.88</v>
      </c>
      <c r="K11" s="3">
        <v>1720</v>
      </c>
    </row>
    <row r="12" spans="2:12" ht="20.100000000000001" customHeight="1" x14ac:dyDescent="0.25">
      <c r="B12" s="6" t="s">
        <v>63</v>
      </c>
      <c r="C12" s="6" t="s">
        <v>64</v>
      </c>
      <c r="D12" s="10" t="s">
        <v>57</v>
      </c>
      <c r="E12" s="6" t="s">
        <v>52</v>
      </c>
      <c r="F12" s="6">
        <v>3.9</v>
      </c>
      <c r="G12" s="6">
        <v>142000</v>
      </c>
      <c r="H12" s="7">
        <v>1.9</v>
      </c>
      <c r="I12" s="7">
        <v>80.5</v>
      </c>
      <c r="J12" s="6">
        <v>5.95</v>
      </c>
      <c r="K12" s="6">
        <v>1590</v>
      </c>
    </row>
    <row r="13" spans="2:12" ht="20.100000000000001" customHeight="1" x14ac:dyDescent="0.25">
      <c r="B13" s="3" t="s">
        <v>65</v>
      </c>
      <c r="C13" s="3" t="s">
        <v>66</v>
      </c>
      <c r="D13" s="9" t="s">
        <v>57</v>
      </c>
      <c r="E13" s="3" t="s">
        <v>60</v>
      </c>
      <c r="F13" s="3">
        <v>2.2000000000000002</v>
      </c>
      <c r="G13" s="3">
        <v>64000</v>
      </c>
      <c r="H13" s="4">
        <v>0.9</v>
      </c>
      <c r="I13" s="4">
        <v>87.4</v>
      </c>
      <c r="J13" s="3">
        <v>6.44</v>
      </c>
      <c r="K13" s="3">
        <v>2140</v>
      </c>
    </row>
    <row r="14" spans="2:12" ht="20.100000000000001" customHeight="1" x14ac:dyDescent="0.25">
      <c r="B14" s="6" t="s">
        <v>67</v>
      </c>
      <c r="C14" s="6" t="s">
        <v>68</v>
      </c>
      <c r="D14" s="11" t="s">
        <v>69</v>
      </c>
      <c r="E14" s="6" t="s">
        <v>47</v>
      </c>
      <c r="F14" s="6">
        <v>4.0999999999999996</v>
      </c>
      <c r="G14" s="6">
        <v>168000</v>
      </c>
      <c r="H14" s="10">
        <v>4.0999999999999996</v>
      </c>
      <c r="I14" s="10">
        <v>74.3</v>
      </c>
      <c r="J14" s="6">
        <v>5.15</v>
      </c>
      <c r="K14" s="6">
        <v>1080</v>
      </c>
    </row>
    <row r="15" spans="2:12" ht="20.100000000000001" customHeight="1" x14ac:dyDescent="0.25">
      <c r="B15" s="3" t="s">
        <v>70</v>
      </c>
      <c r="C15" s="3" t="s">
        <v>71</v>
      </c>
      <c r="D15" s="12" t="s">
        <v>69</v>
      </c>
      <c r="E15" s="3" t="s">
        <v>60</v>
      </c>
      <c r="F15" s="3">
        <v>3.6</v>
      </c>
      <c r="G15" s="3">
        <v>148000</v>
      </c>
      <c r="H15" s="9">
        <v>3.8</v>
      </c>
      <c r="I15" s="9">
        <v>75.599999999999994</v>
      </c>
      <c r="J15" s="3">
        <v>5.22</v>
      </c>
      <c r="K15" s="3">
        <v>1140</v>
      </c>
    </row>
    <row r="16" spans="2:12" ht="20.100000000000001" customHeight="1" x14ac:dyDescent="0.25">
      <c r="B16" s="6" t="s">
        <v>72</v>
      </c>
      <c r="C16" s="6" t="s">
        <v>73</v>
      </c>
      <c r="D16" s="11" t="s">
        <v>69</v>
      </c>
      <c r="E16" s="6" t="s">
        <v>47</v>
      </c>
      <c r="F16" s="6">
        <v>2.9</v>
      </c>
      <c r="G16" s="6">
        <v>118000</v>
      </c>
      <c r="H16" s="10">
        <v>4.5999999999999996</v>
      </c>
      <c r="I16" s="10">
        <v>73.099999999999994</v>
      </c>
      <c r="J16" s="6">
        <v>5.08</v>
      </c>
      <c r="K16" s="6">
        <v>1050</v>
      </c>
    </row>
    <row r="17" spans="2:11" ht="20.100000000000001" customHeight="1" x14ac:dyDescent="0.25">
      <c r="B17" s="3" t="s">
        <v>74</v>
      </c>
      <c r="C17" s="3" t="s">
        <v>75</v>
      </c>
      <c r="D17" s="12" t="s">
        <v>69</v>
      </c>
      <c r="E17" s="3" t="s">
        <v>60</v>
      </c>
      <c r="F17" s="3">
        <v>3.4</v>
      </c>
      <c r="G17" s="3">
        <v>138000</v>
      </c>
      <c r="H17" s="5">
        <v>6.1</v>
      </c>
      <c r="I17" s="5">
        <v>69.8</v>
      </c>
      <c r="J17" s="3">
        <v>4.8499999999999996</v>
      </c>
      <c r="K17" s="3">
        <v>1180</v>
      </c>
    </row>
    <row r="18" spans="2:11" ht="20.100000000000001" customHeight="1" x14ac:dyDescent="0.25">
      <c r="B18" s="6" t="s">
        <v>76</v>
      </c>
      <c r="C18" s="6" t="s">
        <v>77</v>
      </c>
      <c r="D18" s="11" t="s">
        <v>69</v>
      </c>
      <c r="E18" s="6" t="s">
        <v>52</v>
      </c>
      <c r="F18" s="6">
        <v>1.8</v>
      </c>
      <c r="G18" s="6">
        <v>72000</v>
      </c>
      <c r="H18" s="10">
        <v>5.2</v>
      </c>
      <c r="I18" s="10">
        <v>71.2</v>
      </c>
      <c r="J18" s="6">
        <v>4.92</v>
      </c>
      <c r="K18" s="6">
        <v>890</v>
      </c>
    </row>
    <row r="19" spans="2:11" ht="20.100000000000001" customHeight="1" x14ac:dyDescent="0.25">
      <c r="B19" s="3" t="s">
        <v>78</v>
      </c>
      <c r="C19" s="3" t="s">
        <v>79</v>
      </c>
      <c r="D19" s="4" t="s">
        <v>80</v>
      </c>
      <c r="E19" s="3" t="s">
        <v>52</v>
      </c>
      <c r="F19" s="3">
        <v>1.4</v>
      </c>
      <c r="G19" s="3">
        <v>52000</v>
      </c>
      <c r="H19" s="5">
        <v>6.8</v>
      </c>
      <c r="I19" s="5">
        <v>68.400000000000006</v>
      </c>
      <c r="J19" s="3">
        <v>4.71</v>
      </c>
      <c r="K19" s="3">
        <v>920</v>
      </c>
    </row>
    <row r="20" spans="2:11" ht="20.100000000000001" customHeight="1" x14ac:dyDescent="0.25">
      <c r="B20" s="6" t="s">
        <v>81</v>
      </c>
      <c r="C20" s="6" t="s">
        <v>82</v>
      </c>
      <c r="D20" s="7" t="s">
        <v>80</v>
      </c>
      <c r="E20" s="6" t="s">
        <v>52</v>
      </c>
      <c r="F20" s="6">
        <v>1.1000000000000001</v>
      </c>
      <c r="G20" s="6">
        <v>44000</v>
      </c>
      <c r="H20" s="8">
        <v>8.1999999999999993</v>
      </c>
      <c r="I20" s="8">
        <v>64.2</v>
      </c>
      <c r="J20" s="6">
        <v>4.55</v>
      </c>
      <c r="K20" s="6">
        <v>870</v>
      </c>
    </row>
    <row r="21" spans="2:11" ht="20.100000000000001" customHeight="1" x14ac:dyDescent="0.25">
      <c r="B21" s="3" t="s">
        <v>83</v>
      </c>
      <c r="C21" s="3" t="s">
        <v>84</v>
      </c>
      <c r="D21" s="4" t="s">
        <v>80</v>
      </c>
      <c r="E21" s="3" t="s">
        <v>52</v>
      </c>
      <c r="F21" s="3">
        <v>0.9</v>
      </c>
      <c r="G21" s="3">
        <v>36000</v>
      </c>
      <c r="H21" s="5">
        <v>7.1</v>
      </c>
      <c r="I21" s="5">
        <v>66.8</v>
      </c>
      <c r="J21" s="3">
        <v>4.68</v>
      </c>
      <c r="K21" s="3">
        <v>810</v>
      </c>
    </row>
  </sheetData>
  <mergeCells count="1">
    <mergeCell ref="B1:L2"/>
  </mergeCells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A569BD"/>
  </sheetPr>
  <dimension ref="B1:M19"/>
  <sheetViews>
    <sheetView showGridLines="0" workbookViewId="0"/>
  </sheetViews>
  <sheetFormatPr defaultRowHeight="15" x14ac:dyDescent="0.25"/>
  <cols>
    <col min="1" max="1" width="2" customWidth="1"/>
    <col min="2" max="2" width="22" customWidth="1"/>
    <col min="3" max="3" width="12" customWidth="1"/>
    <col min="6" max="6" width="22" customWidth="1"/>
    <col min="7" max="7" width="12" customWidth="1"/>
    <col min="10" max="10" width="22" customWidth="1"/>
    <col min="11" max="11" width="12" customWidth="1"/>
  </cols>
  <sheetData>
    <row r="1" spans="2:13" ht="21.95" customHeight="1" x14ac:dyDescent="0.25">
      <c r="B1" s="56" t="s">
        <v>85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</row>
    <row r="2" spans="2:13" ht="21.95" customHeight="1" x14ac:dyDescent="0.25">
      <c r="B2" s="42"/>
      <c r="C2" s="42"/>
      <c r="D2" s="42"/>
      <c r="E2" s="42"/>
      <c r="F2" s="42"/>
      <c r="G2" s="42"/>
      <c r="H2" s="42"/>
      <c r="I2" s="42"/>
      <c r="J2" s="42"/>
      <c r="K2" s="42"/>
      <c r="L2" s="42"/>
      <c r="M2" s="42"/>
    </row>
    <row r="4" spans="2:13" ht="32.1" customHeight="1" x14ac:dyDescent="0.25">
      <c r="B4" s="13" t="s">
        <v>86</v>
      </c>
      <c r="C4" s="13" t="s">
        <v>87</v>
      </c>
      <c r="D4" s="13" t="s">
        <v>88</v>
      </c>
      <c r="E4" s="13" t="s">
        <v>89</v>
      </c>
      <c r="F4" s="13" t="s">
        <v>90</v>
      </c>
      <c r="G4" s="13" t="s">
        <v>91</v>
      </c>
      <c r="H4" s="13" t="s">
        <v>92</v>
      </c>
      <c r="I4" s="13" t="s">
        <v>93</v>
      </c>
      <c r="J4" s="13" t="s">
        <v>94</v>
      </c>
    </row>
    <row r="5" spans="2:13" ht="24" customHeight="1" x14ac:dyDescent="0.25">
      <c r="B5" s="3" t="s">
        <v>95</v>
      </c>
      <c r="C5" s="3" t="s">
        <v>96</v>
      </c>
      <c r="D5" s="3" t="s">
        <v>97</v>
      </c>
      <c r="E5" s="3" t="s">
        <v>98</v>
      </c>
      <c r="F5" s="14">
        <v>0.95820000000000005</v>
      </c>
      <c r="G5" s="3">
        <v>0.77449999999999997</v>
      </c>
      <c r="H5" s="3">
        <v>0.95760000000000001</v>
      </c>
      <c r="I5" s="3">
        <v>8.9999999999999998E-4</v>
      </c>
      <c r="J5" s="3" t="s">
        <v>99</v>
      </c>
    </row>
    <row r="6" spans="2:13" ht="24" customHeight="1" x14ac:dyDescent="0.25">
      <c r="B6" s="6" t="s">
        <v>100</v>
      </c>
      <c r="C6" s="6" t="s">
        <v>101</v>
      </c>
      <c r="D6" s="6" t="s">
        <v>97</v>
      </c>
      <c r="E6" s="6" t="s">
        <v>98</v>
      </c>
      <c r="F6" s="15">
        <v>0.99050000000000005</v>
      </c>
      <c r="G6" s="6">
        <v>0.91920000000000002</v>
      </c>
      <c r="H6" s="6">
        <v>0.99070000000000003</v>
      </c>
      <c r="I6" s="6">
        <v>2.9999999999999997E-4</v>
      </c>
      <c r="J6" s="6" t="s">
        <v>102</v>
      </c>
    </row>
    <row r="7" spans="2:13" ht="24" customHeight="1" x14ac:dyDescent="0.25">
      <c r="B7" s="3" t="s">
        <v>103</v>
      </c>
      <c r="C7" s="3" t="s">
        <v>96</v>
      </c>
      <c r="D7" s="3" t="s">
        <v>104</v>
      </c>
      <c r="E7" s="3" t="s">
        <v>105</v>
      </c>
      <c r="F7" s="16">
        <v>0.94750000000000001</v>
      </c>
      <c r="G7" s="3">
        <v>0.91739999999999999</v>
      </c>
      <c r="H7" s="3">
        <v>0.9486</v>
      </c>
      <c r="I7" s="3">
        <v>2.5000000000000001E-3</v>
      </c>
      <c r="J7" s="3" t="s">
        <v>106</v>
      </c>
    </row>
    <row r="9" spans="2:13" ht="18" customHeight="1" x14ac:dyDescent="0.3">
      <c r="B9" s="1" t="s">
        <v>107</v>
      </c>
    </row>
    <row r="10" spans="2:13" ht="16.5" x14ac:dyDescent="0.3">
      <c r="B10" s="17" t="s">
        <v>95</v>
      </c>
      <c r="F10" s="18" t="s">
        <v>100</v>
      </c>
      <c r="J10" s="19" t="s">
        <v>103</v>
      </c>
    </row>
    <row r="11" spans="2:13" x14ac:dyDescent="0.25">
      <c r="B11" s="20" t="s">
        <v>108</v>
      </c>
      <c r="C11" s="20" t="s">
        <v>109</v>
      </c>
      <c r="F11" s="20" t="s">
        <v>108</v>
      </c>
      <c r="G11" s="20" t="s">
        <v>109</v>
      </c>
      <c r="J11" s="20" t="s">
        <v>108</v>
      </c>
      <c r="K11" s="20" t="s">
        <v>109</v>
      </c>
    </row>
    <row r="12" spans="2:13" ht="18" customHeight="1" x14ac:dyDescent="0.25">
      <c r="B12" s="21" t="s">
        <v>110</v>
      </c>
      <c r="C12" s="3">
        <v>0.312</v>
      </c>
      <c r="F12" s="21" t="s">
        <v>111</v>
      </c>
      <c r="G12" s="3">
        <v>0.42099999999999999</v>
      </c>
      <c r="J12" s="21" t="s">
        <v>112</v>
      </c>
      <c r="K12" s="3">
        <v>0.35799999999999998</v>
      </c>
    </row>
    <row r="13" spans="2:13" ht="18" customHeight="1" x14ac:dyDescent="0.25">
      <c r="B13" s="22" t="s">
        <v>113</v>
      </c>
      <c r="C13" s="6">
        <v>0.24099999999999999</v>
      </c>
      <c r="F13" s="22" t="s">
        <v>114</v>
      </c>
      <c r="G13" s="6">
        <v>0.19800000000000001</v>
      </c>
      <c r="J13" s="22" t="s">
        <v>115</v>
      </c>
      <c r="K13" s="6">
        <v>0.28100000000000003</v>
      </c>
    </row>
    <row r="14" spans="2:13" ht="18" customHeight="1" x14ac:dyDescent="0.25">
      <c r="B14" s="21" t="s">
        <v>116</v>
      </c>
      <c r="C14" s="3">
        <v>0.13800000000000001</v>
      </c>
      <c r="F14" s="21" t="s">
        <v>117</v>
      </c>
      <c r="G14" s="3">
        <v>0.14199999999999999</v>
      </c>
      <c r="J14" s="21" t="s">
        <v>118</v>
      </c>
      <c r="K14" s="3">
        <v>0.14199999999999999</v>
      </c>
    </row>
    <row r="15" spans="2:13" ht="18" customHeight="1" x14ac:dyDescent="0.25">
      <c r="B15" s="22" t="s">
        <v>119</v>
      </c>
      <c r="C15" s="6">
        <v>0.10199999999999999</v>
      </c>
      <c r="F15" s="22" t="s">
        <v>120</v>
      </c>
      <c r="G15" s="6">
        <v>9.8000000000000004E-2</v>
      </c>
      <c r="J15" s="22" t="s">
        <v>121</v>
      </c>
      <c r="K15" s="6">
        <v>9.8000000000000004E-2</v>
      </c>
    </row>
    <row r="16" spans="2:13" ht="18" customHeight="1" x14ac:dyDescent="0.25">
      <c r="B16" s="21" t="s">
        <v>122</v>
      </c>
      <c r="C16" s="3">
        <v>8.6999999999999994E-2</v>
      </c>
      <c r="F16" s="21" t="s">
        <v>123</v>
      </c>
      <c r="G16" s="3">
        <v>7.0999999999999994E-2</v>
      </c>
      <c r="J16" s="21" t="s">
        <v>124</v>
      </c>
      <c r="K16" s="3">
        <v>7.0999999999999994E-2</v>
      </c>
    </row>
    <row r="17" spans="2:11" ht="18" customHeight="1" x14ac:dyDescent="0.25">
      <c r="B17" s="22" t="s">
        <v>125</v>
      </c>
      <c r="C17" s="6">
        <v>5.3999999999999999E-2</v>
      </c>
      <c r="F17" s="22" t="s">
        <v>119</v>
      </c>
      <c r="G17" s="6">
        <v>3.7999999999999999E-2</v>
      </c>
      <c r="J17" s="22" t="s">
        <v>126</v>
      </c>
      <c r="K17" s="6">
        <v>3.3000000000000002E-2</v>
      </c>
    </row>
    <row r="18" spans="2:11" ht="18" customHeight="1" x14ac:dyDescent="0.25">
      <c r="B18" s="21" t="s">
        <v>127</v>
      </c>
      <c r="C18" s="3">
        <v>4.1000000000000002E-2</v>
      </c>
      <c r="F18" s="21" t="s">
        <v>128</v>
      </c>
      <c r="G18" s="3">
        <v>2.1999999999999999E-2</v>
      </c>
      <c r="J18" s="21" t="s">
        <v>119</v>
      </c>
      <c r="K18" s="3">
        <v>1.7000000000000001E-2</v>
      </c>
    </row>
    <row r="19" spans="2:11" ht="18" customHeight="1" x14ac:dyDescent="0.25">
      <c r="B19" s="22" t="s">
        <v>129</v>
      </c>
      <c r="C19" s="6">
        <v>2.5000000000000001E-2</v>
      </c>
      <c r="F19" s="22" t="s">
        <v>130</v>
      </c>
      <c r="G19" s="6">
        <v>0.01</v>
      </c>
    </row>
  </sheetData>
  <mergeCells count="1">
    <mergeCell ref="B1:M2"/>
  </mergeCells>
  <pageMargins left="0.75" right="0.75" top="1" bottom="1" header="0.5" footer="0.5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4ECDC4"/>
  </sheetPr>
  <dimension ref="B1:K16"/>
  <sheetViews>
    <sheetView showGridLines="0" topLeftCell="A10" workbookViewId="0"/>
  </sheetViews>
  <sheetFormatPr defaultRowHeight="15" x14ac:dyDescent="0.25"/>
  <cols>
    <col min="1" max="1" width="2" customWidth="1"/>
  </cols>
  <sheetData>
    <row r="1" spans="2:11" ht="21.95" customHeight="1" x14ac:dyDescent="0.25">
      <c r="B1" s="57" t="s">
        <v>131</v>
      </c>
      <c r="C1" s="42"/>
      <c r="D1" s="42"/>
      <c r="E1" s="42"/>
      <c r="F1" s="42"/>
      <c r="G1" s="42"/>
      <c r="H1" s="42"/>
      <c r="I1" s="42"/>
      <c r="J1" s="42"/>
      <c r="K1" s="42"/>
    </row>
    <row r="2" spans="2:11" ht="21.95" customHeight="1" x14ac:dyDescent="0.25">
      <c r="B2" s="42"/>
      <c r="C2" s="42"/>
      <c r="D2" s="42"/>
      <c r="E2" s="42"/>
      <c r="F2" s="42"/>
      <c r="G2" s="42"/>
      <c r="H2" s="42"/>
      <c r="I2" s="42"/>
      <c r="J2" s="42"/>
      <c r="K2" s="42"/>
    </row>
    <row r="4" spans="2:11" ht="32.1" customHeight="1" x14ac:dyDescent="0.25">
      <c r="B4" s="23" t="s">
        <v>132</v>
      </c>
      <c r="C4" s="23" t="s">
        <v>133</v>
      </c>
      <c r="D4" s="23" t="s">
        <v>37</v>
      </c>
      <c r="E4" s="23" t="s">
        <v>134</v>
      </c>
      <c r="F4" s="23" t="s">
        <v>135</v>
      </c>
      <c r="G4" s="23" t="s">
        <v>136</v>
      </c>
      <c r="H4" s="23" t="s">
        <v>137</v>
      </c>
      <c r="I4" s="23" t="s">
        <v>138</v>
      </c>
      <c r="J4" s="23" t="s">
        <v>139</v>
      </c>
      <c r="K4" s="23" t="s">
        <v>140</v>
      </c>
    </row>
    <row r="5" spans="2:11" ht="21.95" customHeight="1" x14ac:dyDescent="0.25">
      <c r="B5" s="24" t="s">
        <v>141</v>
      </c>
      <c r="C5" s="3" t="s">
        <v>142</v>
      </c>
      <c r="D5" s="3" t="s">
        <v>47</v>
      </c>
      <c r="E5" s="3" t="s">
        <v>143</v>
      </c>
      <c r="F5" s="25">
        <v>2.8</v>
      </c>
      <c r="G5" s="3">
        <v>4200</v>
      </c>
      <c r="H5" s="3" t="s">
        <v>144</v>
      </c>
      <c r="I5" s="3" t="s">
        <v>145</v>
      </c>
      <c r="J5" s="3" t="s">
        <v>146</v>
      </c>
      <c r="K5" s="3" t="s">
        <v>147</v>
      </c>
    </row>
    <row r="6" spans="2:11" ht="21.95" customHeight="1" x14ac:dyDescent="0.25">
      <c r="B6" s="26" t="s">
        <v>148</v>
      </c>
      <c r="C6" s="6" t="s">
        <v>149</v>
      </c>
      <c r="D6" s="6" t="s">
        <v>47</v>
      </c>
      <c r="E6" s="6" t="s">
        <v>150</v>
      </c>
      <c r="F6" s="27">
        <v>18.399999999999999</v>
      </c>
      <c r="G6" s="6">
        <v>2800</v>
      </c>
      <c r="H6" s="6" t="s">
        <v>151</v>
      </c>
      <c r="I6" s="6" t="s">
        <v>152</v>
      </c>
      <c r="J6" s="6" t="s">
        <v>153</v>
      </c>
      <c r="K6" s="6" t="s">
        <v>154</v>
      </c>
    </row>
    <row r="7" spans="2:11" ht="21.95" customHeight="1" x14ac:dyDescent="0.25">
      <c r="B7" s="28" t="s">
        <v>155</v>
      </c>
      <c r="C7" s="3" t="s">
        <v>156</v>
      </c>
      <c r="D7" s="3" t="s">
        <v>52</v>
      </c>
      <c r="E7" s="3" t="s">
        <v>157</v>
      </c>
      <c r="F7" s="25">
        <v>44.1</v>
      </c>
      <c r="G7" s="3">
        <v>1200</v>
      </c>
      <c r="H7" s="3" t="s">
        <v>158</v>
      </c>
      <c r="I7" s="3" t="s">
        <v>159</v>
      </c>
      <c r="J7" s="3" t="s">
        <v>160</v>
      </c>
      <c r="K7" s="3" t="s">
        <v>161</v>
      </c>
    </row>
    <row r="8" spans="2:11" ht="21.95" customHeight="1" x14ac:dyDescent="0.25">
      <c r="B8" s="29" t="s">
        <v>162</v>
      </c>
      <c r="C8" s="6" t="s">
        <v>163</v>
      </c>
      <c r="D8" s="6" t="s">
        <v>47</v>
      </c>
      <c r="E8" s="6" t="s">
        <v>164</v>
      </c>
      <c r="F8" s="27">
        <v>26.3</v>
      </c>
      <c r="G8" s="6">
        <v>480</v>
      </c>
      <c r="H8" s="6" t="s">
        <v>165</v>
      </c>
      <c r="I8" s="6" t="s">
        <v>166</v>
      </c>
      <c r="J8" s="6" t="s">
        <v>167</v>
      </c>
      <c r="K8" s="6" t="s">
        <v>168</v>
      </c>
    </row>
    <row r="9" spans="2:11" ht="21.95" customHeight="1" x14ac:dyDescent="0.25">
      <c r="B9" s="30" t="s">
        <v>169</v>
      </c>
      <c r="C9" s="3" t="s">
        <v>170</v>
      </c>
      <c r="D9" s="3" t="s">
        <v>47</v>
      </c>
      <c r="E9" s="3" t="s">
        <v>171</v>
      </c>
      <c r="F9" s="25">
        <v>8.4</v>
      </c>
      <c r="G9" s="3">
        <v>0</v>
      </c>
      <c r="H9" s="3" t="s">
        <v>172</v>
      </c>
      <c r="I9" s="3" t="s">
        <v>173</v>
      </c>
      <c r="J9" s="3" t="s">
        <v>174</v>
      </c>
      <c r="K9" s="3" t="s">
        <v>173</v>
      </c>
    </row>
    <row r="12" spans="2:11" ht="16.5" x14ac:dyDescent="0.3">
      <c r="I12" s="31" t="s">
        <v>175</v>
      </c>
    </row>
    <row r="13" spans="2:11" ht="20.100000000000001" customHeight="1" x14ac:dyDescent="0.25">
      <c r="I13" s="5" t="s">
        <v>176</v>
      </c>
      <c r="J13" s="3" t="s">
        <v>177</v>
      </c>
      <c r="K13" s="5" t="s">
        <v>178</v>
      </c>
    </row>
    <row r="14" spans="2:11" ht="20.100000000000001" customHeight="1" x14ac:dyDescent="0.25">
      <c r="I14" s="10" t="s">
        <v>179</v>
      </c>
      <c r="J14" s="6" t="s">
        <v>180</v>
      </c>
      <c r="K14" s="10" t="s">
        <v>181</v>
      </c>
    </row>
    <row r="15" spans="2:11" ht="20.100000000000001" customHeight="1" x14ac:dyDescent="0.25">
      <c r="I15" s="4" t="s">
        <v>157</v>
      </c>
      <c r="J15" s="3" t="s">
        <v>182</v>
      </c>
      <c r="K15" s="4" t="s">
        <v>183</v>
      </c>
    </row>
    <row r="16" spans="2:11" ht="20.100000000000001" customHeight="1" x14ac:dyDescent="0.25">
      <c r="I16" s="11" t="s">
        <v>143</v>
      </c>
      <c r="J16" s="6" t="s">
        <v>57</v>
      </c>
      <c r="K16" s="11" t="s">
        <v>184</v>
      </c>
    </row>
  </sheetData>
  <mergeCells count="1">
    <mergeCell ref="B1:K2"/>
  </mergeCells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5A623"/>
  </sheetPr>
  <dimension ref="B1:J14"/>
  <sheetViews>
    <sheetView showGridLines="0" workbookViewId="0"/>
  </sheetViews>
  <sheetFormatPr defaultRowHeight="15" x14ac:dyDescent="0.25"/>
  <cols>
    <col min="1" max="1" width="2" customWidth="1"/>
  </cols>
  <sheetData>
    <row r="1" spans="2:10" ht="21.95" customHeight="1" x14ac:dyDescent="0.25">
      <c r="B1" s="58" t="s">
        <v>185</v>
      </c>
      <c r="C1" s="42"/>
      <c r="D1" s="42"/>
      <c r="E1" s="42"/>
      <c r="F1" s="42"/>
      <c r="G1" s="42"/>
      <c r="H1" s="42"/>
      <c r="I1" s="42"/>
      <c r="J1" s="42"/>
    </row>
    <row r="2" spans="2:10" ht="21.95" customHeight="1" x14ac:dyDescent="0.25">
      <c r="B2" s="42"/>
      <c r="C2" s="42"/>
      <c r="D2" s="42"/>
      <c r="E2" s="42"/>
      <c r="F2" s="42"/>
      <c r="G2" s="42"/>
      <c r="H2" s="42"/>
      <c r="I2" s="42"/>
      <c r="J2" s="42"/>
    </row>
    <row r="4" spans="2:10" ht="32.1" customHeight="1" x14ac:dyDescent="0.25">
      <c r="B4" s="32" t="s">
        <v>34</v>
      </c>
      <c r="C4" s="32" t="s">
        <v>186</v>
      </c>
      <c r="D4" s="32" t="s">
        <v>42</v>
      </c>
      <c r="E4" s="32" t="s">
        <v>187</v>
      </c>
      <c r="F4" s="32" t="s">
        <v>188</v>
      </c>
      <c r="G4" s="32" t="s">
        <v>189</v>
      </c>
    </row>
    <row r="5" spans="2:10" ht="20.100000000000001" customHeight="1" x14ac:dyDescent="0.25">
      <c r="B5" s="12" t="s">
        <v>44</v>
      </c>
      <c r="C5" s="3" t="s">
        <v>190</v>
      </c>
      <c r="D5" s="3" t="s">
        <v>191</v>
      </c>
      <c r="E5" s="3" t="s">
        <v>192</v>
      </c>
      <c r="F5" s="3" t="s">
        <v>193</v>
      </c>
      <c r="G5" s="3" t="s">
        <v>194</v>
      </c>
    </row>
    <row r="6" spans="2:10" ht="20.100000000000001" customHeight="1" x14ac:dyDescent="0.25">
      <c r="B6" s="7" t="s">
        <v>48</v>
      </c>
      <c r="C6" s="6" t="s">
        <v>195</v>
      </c>
      <c r="D6" s="6" t="s">
        <v>196</v>
      </c>
      <c r="E6" s="6" t="s">
        <v>197</v>
      </c>
      <c r="F6" s="6" t="s">
        <v>198</v>
      </c>
      <c r="G6" s="6" t="s">
        <v>199</v>
      </c>
    </row>
    <row r="7" spans="2:10" ht="20.100000000000001" customHeight="1" x14ac:dyDescent="0.25">
      <c r="B7" s="9" t="s">
        <v>55</v>
      </c>
      <c r="C7" s="3" t="s">
        <v>200</v>
      </c>
      <c r="D7" s="3" t="s">
        <v>201</v>
      </c>
      <c r="E7" s="3" t="s">
        <v>202</v>
      </c>
      <c r="F7" s="3" t="s">
        <v>203</v>
      </c>
      <c r="G7" s="3" t="s">
        <v>204</v>
      </c>
    </row>
    <row r="8" spans="2:10" ht="20.100000000000001" customHeight="1" x14ac:dyDescent="0.25">
      <c r="B8" s="8" t="s">
        <v>65</v>
      </c>
      <c r="C8" s="6" t="s">
        <v>205</v>
      </c>
      <c r="D8" s="6" t="s">
        <v>206</v>
      </c>
      <c r="E8" s="6" t="s">
        <v>207</v>
      </c>
      <c r="F8" s="6" t="s">
        <v>208</v>
      </c>
      <c r="G8" s="6" t="s">
        <v>209</v>
      </c>
    </row>
    <row r="9" spans="2:10" ht="20.100000000000001" customHeight="1" x14ac:dyDescent="0.25">
      <c r="B9" s="12" t="s">
        <v>61</v>
      </c>
      <c r="C9" s="3" t="s">
        <v>210</v>
      </c>
      <c r="D9" s="3" t="s">
        <v>211</v>
      </c>
      <c r="E9" s="3" t="s">
        <v>212</v>
      </c>
      <c r="F9" s="3" t="s">
        <v>213</v>
      </c>
      <c r="G9" s="3" t="s">
        <v>214</v>
      </c>
    </row>
    <row r="10" spans="2:10" ht="20.100000000000001" customHeight="1" x14ac:dyDescent="0.25">
      <c r="B10" s="7" t="s">
        <v>58</v>
      </c>
      <c r="C10" s="6" t="s">
        <v>215</v>
      </c>
      <c r="D10" s="6" t="s">
        <v>216</v>
      </c>
      <c r="E10" s="6" t="s">
        <v>191</v>
      </c>
      <c r="F10" s="6" t="s">
        <v>213</v>
      </c>
      <c r="G10" s="6" t="s">
        <v>217</v>
      </c>
    </row>
    <row r="11" spans="2:10" ht="20.100000000000001" customHeight="1" x14ac:dyDescent="0.25">
      <c r="B11" s="9" t="s">
        <v>50</v>
      </c>
      <c r="C11" s="3" t="s">
        <v>218</v>
      </c>
      <c r="D11" s="3" t="s">
        <v>219</v>
      </c>
      <c r="E11" s="3" t="s">
        <v>220</v>
      </c>
      <c r="F11" s="3" t="s">
        <v>193</v>
      </c>
      <c r="G11" s="3" t="s">
        <v>221</v>
      </c>
    </row>
    <row r="12" spans="2:10" ht="20.100000000000001" customHeight="1" x14ac:dyDescent="0.25">
      <c r="B12" s="8" t="s">
        <v>74</v>
      </c>
      <c r="C12" s="6" t="s">
        <v>222</v>
      </c>
      <c r="D12" s="6" t="s">
        <v>223</v>
      </c>
      <c r="E12" s="6" t="s">
        <v>224</v>
      </c>
      <c r="F12" s="6" t="s">
        <v>203</v>
      </c>
      <c r="G12" s="6" t="s">
        <v>225</v>
      </c>
    </row>
    <row r="13" spans="2:10" ht="20.100000000000001" customHeight="1" x14ac:dyDescent="0.25">
      <c r="B13" s="12" t="s">
        <v>70</v>
      </c>
      <c r="C13" s="3" t="s">
        <v>226</v>
      </c>
      <c r="D13" s="3" t="s">
        <v>227</v>
      </c>
      <c r="E13" s="3" t="s">
        <v>228</v>
      </c>
      <c r="F13" s="3" t="s">
        <v>229</v>
      </c>
      <c r="G13" s="3" t="s">
        <v>230</v>
      </c>
    </row>
    <row r="14" spans="2:10" ht="20.100000000000001" customHeight="1" x14ac:dyDescent="0.25">
      <c r="B14" s="7" t="s">
        <v>67</v>
      </c>
      <c r="C14" s="6" t="s">
        <v>231</v>
      </c>
      <c r="D14" s="6" t="s">
        <v>232</v>
      </c>
      <c r="E14" s="6" t="s">
        <v>233</v>
      </c>
      <c r="F14" s="6" t="s">
        <v>229</v>
      </c>
      <c r="G14" s="6" t="s">
        <v>234</v>
      </c>
    </row>
  </sheetData>
  <mergeCells count="1">
    <mergeCell ref="B1:J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6B6B"/>
  </sheetPr>
  <dimension ref="B1:J10"/>
  <sheetViews>
    <sheetView showGridLines="0" workbookViewId="0"/>
  </sheetViews>
  <sheetFormatPr defaultRowHeight="15" x14ac:dyDescent="0.25"/>
  <cols>
    <col min="1" max="1" width="2" customWidth="1"/>
  </cols>
  <sheetData>
    <row r="1" spans="2:10" ht="21.95" customHeight="1" x14ac:dyDescent="0.25">
      <c r="B1" s="59" t="s">
        <v>235</v>
      </c>
      <c r="C1" s="42"/>
      <c r="D1" s="42"/>
      <c r="E1" s="42"/>
      <c r="F1" s="42"/>
      <c r="G1" s="42"/>
      <c r="H1" s="42"/>
      <c r="I1" s="42"/>
      <c r="J1" s="42"/>
    </row>
    <row r="2" spans="2:10" ht="21.95" customHeight="1" x14ac:dyDescent="0.25">
      <c r="B2" s="42"/>
      <c r="C2" s="42"/>
      <c r="D2" s="42"/>
      <c r="E2" s="42"/>
      <c r="F2" s="42"/>
      <c r="G2" s="42"/>
      <c r="H2" s="42"/>
      <c r="I2" s="42"/>
      <c r="J2" s="42"/>
    </row>
    <row r="4" spans="2:10" ht="32.1" customHeight="1" x14ac:dyDescent="0.25">
      <c r="B4" s="33" t="s">
        <v>19</v>
      </c>
      <c r="C4" s="33" t="s">
        <v>26</v>
      </c>
      <c r="D4" s="33" t="s">
        <v>236</v>
      </c>
      <c r="E4" s="33" t="s">
        <v>237</v>
      </c>
      <c r="F4" s="33" t="s">
        <v>238</v>
      </c>
      <c r="G4" s="33" t="s">
        <v>25</v>
      </c>
      <c r="H4" s="33" t="s">
        <v>239</v>
      </c>
      <c r="I4" s="33" t="s">
        <v>240</v>
      </c>
    </row>
    <row r="5" spans="2:10" ht="21.95" customHeight="1" x14ac:dyDescent="0.25">
      <c r="B5" s="3" t="s">
        <v>27</v>
      </c>
      <c r="C5" s="9">
        <v>4.0999999999999996</v>
      </c>
      <c r="D5" s="3" t="s">
        <v>241</v>
      </c>
      <c r="E5" s="3">
        <v>79.2</v>
      </c>
      <c r="F5" s="3" t="s">
        <v>241</v>
      </c>
      <c r="G5" s="9">
        <v>76.099999999999994</v>
      </c>
      <c r="H5" s="3" t="s">
        <v>241</v>
      </c>
      <c r="I5" s="3">
        <v>8.1999999999999993</v>
      </c>
    </row>
    <row r="6" spans="2:10" ht="21.95" customHeight="1" x14ac:dyDescent="0.25">
      <c r="B6" s="6" t="s">
        <v>28</v>
      </c>
      <c r="C6" s="10">
        <v>3.8</v>
      </c>
      <c r="D6" s="6" t="s">
        <v>241</v>
      </c>
      <c r="E6" s="6">
        <v>79.8</v>
      </c>
      <c r="F6" s="6" t="s">
        <v>241</v>
      </c>
      <c r="G6" s="10">
        <v>76.8</v>
      </c>
      <c r="H6" s="6" t="s">
        <v>241</v>
      </c>
      <c r="I6" s="6">
        <v>7.9</v>
      </c>
    </row>
    <row r="7" spans="2:10" ht="21.95" customHeight="1" x14ac:dyDescent="0.25">
      <c r="B7" s="3" t="s">
        <v>29</v>
      </c>
      <c r="C7" s="9">
        <v>3.5</v>
      </c>
      <c r="D7" s="3" t="s">
        <v>241</v>
      </c>
      <c r="E7" s="3">
        <v>80.5</v>
      </c>
      <c r="F7" s="3" t="s">
        <v>242</v>
      </c>
      <c r="G7" s="9">
        <v>77.400000000000006</v>
      </c>
      <c r="H7" s="3" t="s">
        <v>242</v>
      </c>
      <c r="I7" s="3">
        <v>7.6</v>
      </c>
    </row>
    <row r="8" spans="2:10" ht="21.95" customHeight="1" x14ac:dyDescent="0.25">
      <c r="B8" s="6" t="s">
        <v>30</v>
      </c>
      <c r="C8" s="10">
        <v>3.2</v>
      </c>
      <c r="D8" s="6" t="s">
        <v>242</v>
      </c>
      <c r="E8" s="6">
        <v>81.2</v>
      </c>
      <c r="F8" s="6" t="s">
        <v>242</v>
      </c>
      <c r="G8" s="10">
        <v>78</v>
      </c>
      <c r="H8" s="6" t="s">
        <v>242</v>
      </c>
      <c r="I8" s="6">
        <v>7.3</v>
      </c>
    </row>
    <row r="9" spans="2:10" ht="21.95" customHeight="1" x14ac:dyDescent="0.25">
      <c r="B9" s="3" t="s">
        <v>31</v>
      </c>
      <c r="C9" s="9">
        <v>3</v>
      </c>
      <c r="D9" s="3" t="s">
        <v>242</v>
      </c>
      <c r="E9" s="3">
        <v>81.8</v>
      </c>
      <c r="F9" s="3" t="s">
        <v>242</v>
      </c>
      <c r="G9" s="9">
        <v>78.599999999999994</v>
      </c>
      <c r="H9" s="3" t="s">
        <v>242</v>
      </c>
      <c r="I9" s="3">
        <v>7</v>
      </c>
    </row>
    <row r="10" spans="2:10" ht="21.95" customHeight="1" x14ac:dyDescent="0.25">
      <c r="B10" s="6" t="s">
        <v>32</v>
      </c>
      <c r="C10" s="7">
        <v>2.8</v>
      </c>
      <c r="D10" s="6" t="s">
        <v>242</v>
      </c>
      <c r="E10" s="6">
        <v>82.4</v>
      </c>
      <c r="F10" s="6" t="s">
        <v>242</v>
      </c>
      <c r="G10" s="10">
        <v>79.2</v>
      </c>
      <c r="H10" s="6" t="s">
        <v>242</v>
      </c>
      <c r="I10" s="6">
        <v>6.7</v>
      </c>
    </row>
  </sheetData>
  <mergeCells count="1">
    <mergeCell ref="B1:J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2137"/>
  </sheetPr>
  <dimension ref="B1:N18"/>
  <sheetViews>
    <sheetView showGridLines="0" workbookViewId="0"/>
  </sheetViews>
  <sheetFormatPr defaultRowHeight="15" x14ac:dyDescent="0.25"/>
  <cols>
    <col min="1" max="1" width="2" customWidth="1"/>
  </cols>
  <sheetData>
    <row r="1" spans="2:14" ht="21.95" customHeight="1" x14ac:dyDescent="0.25">
      <c r="B1" s="55" t="s">
        <v>243</v>
      </c>
      <c r="C1" s="42"/>
      <c r="D1" s="42"/>
      <c r="E1" s="42"/>
      <c r="F1" s="42"/>
      <c r="G1" s="42"/>
      <c r="H1" s="42"/>
      <c r="I1" s="42"/>
      <c r="J1" s="42"/>
    </row>
    <row r="2" spans="2:14" ht="21.95" customHeight="1" x14ac:dyDescent="0.25">
      <c r="B2" s="42"/>
      <c r="C2" s="42"/>
      <c r="D2" s="42"/>
      <c r="E2" s="42"/>
      <c r="F2" s="42"/>
      <c r="G2" s="42"/>
      <c r="H2" s="42"/>
      <c r="I2" s="42"/>
      <c r="J2" s="42"/>
    </row>
    <row r="3" spans="2:14" ht="15.95" customHeight="1" x14ac:dyDescent="0.25">
      <c r="B3" s="62" t="s">
        <v>244</v>
      </c>
      <c r="C3" s="42"/>
      <c r="D3" s="42"/>
      <c r="E3" s="42"/>
      <c r="F3" s="42"/>
      <c r="G3" s="42"/>
      <c r="H3" s="42"/>
      <c r="I3" s="42"/>
      <c r="J3" s="42"/>
    </row>
    <row r="4" spans="2:14" ht="14.1" customHeight="1" x14ac:dyDescent="0.25">
      <c r="C4" s="68" t="s">
        <v>245</v>
      </c>
      <c r="D4" s="42"/>
      <c r="E4" s="61" t="s">
        <v>246</v>
      </c>
      <c r="F4" s="42"/>
      <c r="G4" s="60" t="s">
        <v>247</v>
      </c>
      <c r="H4" s="42"/>
      <c r="I4" s="63" t="s">
        <v>248</v>
      </c>
      <c r="J4" s="42"/>
      <c r="K4" s="61" t="s">
        <v>249</v>
      </c>
      <c r="L4" s="42"/>
      <c r="M4" s="68" t="s">
        <v>250</v>
      </c>
      <c r="N4" s="42"/>
    </row>
    <row r="5" spans="2:14" ht="32.1" customHeight="1" x14ac:dyDescent="0.25">
      <c r="C5" s="64" t="s">
        <v>251</v>
      </c>
      <c r="D5" s="42"/>
      <c r="E5" s="66" t="s">
        <v>252</v>
      </c>
      <c r="F5" s="42"/>
      <c r="G5" s="65" t="s">
        <v>253</v>
      </c>
      <c r="H5" s="42"/>
      <c r="I5" s="67" t="s">
        <v>254</v>
      </c>
      <c r="J5" s="42"/>
      <c r="K5" s="66" t="s">
        <v>255</v>
      </c>
      <c r="L5" s="42"/>
      <c r="M5" s="64" t="s">
        <v>256</v>
      </c>
      <c r="N5" s="42"/>
    </row>
    <row r="7" spans="2:14" ht="32.1" customHeight="1" x14ac:dyDescent="0.25">
      <c r="B7" s="2" t="s">
        <v>19</v>
      </c>
      <c r="C7" s="2" t="s">
        <v>257</v>
      </c>
      <c r="D7" s="2" t="s">
        <v>246</v>
      </c>
      <c r="E7" s="2" t="s">
        <v>258</v>
      </c>
      <c r="F7" s="2" t="s">
        <v>259</v>
      </c>
      <c r="G7" s="2" t="s">
        <v>260</v>
      </c>
      <c r="H7" s="2" t="s">
        <v>261</v>
      </c>
      <c r="I7" s="2" t="s">
        <v>262</v>
      </c>
    </row>
    <row r="8" spans="2:14" ht="20.100000000000001" customHeight="1" x14ac:dyDescent="0.25">
      <c r="B8" s="3" t="s">
        <v>27</v>
      </c>
      <c r="C8" s="3">
        <v>3200</v>
      </c>
      <c r="D8" s="3">
        <v>2100</v>
      </c>
      <c r="E8" s="3">
        <v>65.599999999999994</v>
      </c>
      <c r="F8" s="3">
        <v>8.82</v>
      </c>
      <c r="G8" s="3">
        <v>96</v>
      </c>
      <c r="H8" s="3">
        <v>4.5999999999999996</v>
      </c>
      <c r="I8" s="3">
        <v>0.42</v>
      </c>
    </row>
    <row r="9" spans="2:14" ht="20.100000000000001" customHeight="1" x14ac:dyDescent="0.25">
      <c r="B9" s="6" t="s">
        <v>28</v>
      </c>
      <c r="C9" s="6">
        <v>3400</v>
      </c>
      <c r="D9" s="6">
        <v>2210</v>
      </c>
      <c r="E9" s="6">
        <v>65</v>
      </c>
      <c r="F9" s="6">
        <v>9.2799999999999994</v>
      </c>
      <c r="G9" s="6">
        <v>101</v>
      </c>
      <c r="H9" s="6">
        <v>4.5999999999999996</v>
      </c>
      <c r="I9" s="6">
        <v>0.44</v>
      </c>
    </row>
    <row r="10" spans="2:14" ht="20.100000000000001" customHeight="1" x14ac:dyDescent="0.25">
      <c r="B10" s="3" t="s">
        <v>29</v>
      </c>
      <c r="C10" s="3">
        <v>3650</v>
      </c>
      <c r="D10" s="3">
        <v>2380</v>
      </c>
      <c r="E10" s="3">
        <v>65.2</v>
      </c>
      <c r="F10" s="3">
        <v>9.98</v>
      </c>
      <c r="G10" s="3">
        <v>109</v>
      </c>
      <c r="H10" s="3">
        <v>4.5999999999999996</v>
      </c>
      <c r="I10" s="3">
        <v>0.47</v>
      </c>
    </row>
    <row r="11" spans="2:14" ht="20.100000000000001" customHeight="1" x14ac:dyDescent="0.25">
      <c r="B11" s="6" t="s">
        <v>30</v>
      </c>
      <c r="C11" s="6">
        <v>3500</v>
      </c>
      <c r="D11" s="6">
        <v>2275</v>
      </c>
      <c r="E11" s="6">
        <v>65</v>
      </c>
      <c r="F11" s="6">
        <v>9.56</v>
      </c>
      <c r="G11" s="6">
        <v>104</v>
      </c>
      <c r="H11" s="6">
        <v>4.5999999999999996</v>
      </c>
      <c r="I11" s="6">
        <v>0.45</v>
      </c>
    </row>
    <row r="12" spans="2:14" ht="20.100000000000001" customHeight="1" x14ac:dyDescent="0.25">
      <c r="B12" s="3" t="s">
        <v>31</v>
      </c>
      <c r="C12" s="3">
        <v>3800</v>
      </c>
      <c r="D12" s="3">
        <v>2470</v>
      </c>
      <c r="E12" s="3">
        <v>65</v>
      </c>
      <c r="F12" s="3">
        <v>10.37</v>
      </c>
      <c r="G12" s="3">
        <v>113</v>
      </c>
      <c r="H12" s="3">
        <v>4.5999999999999996</v>
      </c>
      <c r="I12" s="3">
        <v>0.49</v>
      </c>
    </row>
    <row r="13" spans="2:14" ht="20.100000000000001" customHeight="1" x14ac:dyDescent="0.25">
      <c r="B13" s="6" t="s">
        <v>32</v>
      </c>
      <c r="C13" s="6">
        <v>4100</v>
      </c>
      <c r="D13" s="6">
        <v>2665</v>
      </c>
      <c r="E13" s="6">
        <v>65</v>
      </c>
      <c r="F13" s="6">
        <v>11.19</v>
      </c>
      <c r="G13" s="6">
        <v>122</v>
      </c>
      <c r="H13" s="6">
        <v>4.5999999999999996</v>
      </c>
      <c r="I13" s="6">
        <v>0.53</v>
      </c>
    </row>
    <row r="15" spans="2:14" ht="18" customHeight="1" x14ac:dyDescent="0.3">
      <c r="B15" s="34" t="s">
        <v>263</v>
      </c>
    </row>
    <row r="16" spans="2:14" ht="32.1" customHeight="1" x14ac:dyDescent="0.25">
      <c r="B16" s="2" t="s">
        <v>37</v>
      </c>
      <c r="C16" s="2" t="s">
        <v>264</v>
      </c>
      <c r="D16" s="2" t="s">
        <v>257</v>
      </c>
      <c r="E16" s="2" t="s">
        <v>265</v>
      </c>
      <c r="F16" s="2" t="s">
        <v>261</v>
      </c>
      <c r="G16" s="2" t="s">
        <v>266</v>
      </c>
    </row>
    <row r="17" spans="2:7" ht="21.95" customHeight="1" x14ac:dyDescent="0.25">
      <c r="B17" s="4" t="s">
        <v>267</v>
      </c>
      <c r="C17" s="3" t="s">
        <v>268</v>
      </c>
      <c r="D17" s="3" t="s">
        <v>269</v>
      </c>
      <c r="E17" s="3" t="s">
        <v>168</v>
      </c>
      <c r="F17" s="3" t="s">
        <v>253</v>
      </c>
      <c r="G17" s="3" t="s">
        <v>270</v>
      </c>
    </row>
    <row r="18" spans="2:7" ht="21.95" customHeight="1" x14ac:dyDescent="0.25">
      <c r="B18" s="10" t="s">
        <v>271</v>
      </c>
      <c r="C18" s="6" t="s">
        <v>272</v>
      </c>
      <c r="D18" s="6" t="s">
        <v>273</v>
      </c>
      <c r="E18" s="6" t="s">
        <v>274</v>
      </c>
      <c r="F18" s="6" t="s">
        <v>275</v>
      </c>
      <c r="G18" s="6" t="s">
        <v>276</v>
      </c>
    </row>
  </sheetData>
  <mergeCells count="14">
    <mergeCell ref="M5:N5"/>
    <mergeCell ref="K4:L4"/>
    <mergeCell ref="M4:N4"/>
    <mergeCell ref="C4:D4"/>
    <mergeCell ref="C5:D5"/>
    <mergeCell ref="G5:H5"/>
    <mergeCell ref="E5:F5"/>
    <mergeCell ref="K5:L5"/>
    <mergeCell ref="I5:J5"/>
    <mergeCell ref="G4:H4"/>
    <mergeCell ref="E4:F4"/>
    <mergeCell ref="B3:J3"/>
    <mergeCell ref="I4:J4"/>
    <mergeCell ref="B1:J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C97A"/>
  </sheetPr>
  <dimension ref="B1:J10"/>
  <sheetViews>
    <sheetView showGridLines="0" workbookViewId="0"/>
  </sheetViews>
  <sheetFormatPr defaultRowHeight="15" x14ac:dyDescent="0.25"/>
  <cols>
    <col min="1" max="1" width="2" customWidth="1"/>
  </cols>
  <sheetData>
    <row r="1" spans="2:10" ht="21.95" customHeight="1" x14ac:dyDescent="0.25">
      <c r="B1" s="69" t="s">
        <v>277</v>
      </c>
      <c r="C1" s="42"/>
      <c r="D1" s="42"/>
      <c r="E1" s="42"/>
      <c r="F1" s="42"/>
      <c r="G1" s="42"/>
      <c r="H1" s="42"/>
      <c r="I1" s="42"/>
      <c r="J1" s="42"/>
    </row>
    <row r="2" spans="2:10" ht="21.95" customHeight="1" x14ac:dyDescent="0.25">
      <c r="B2" s="42"/>
      <c r="C2" s="42"/>
      <c r="D2" s="42"/>
      <c r="E2" s="42"/>
      <c r="F2" s="42"/>
      <c r="G2" s="42"/>
      <c r="H2" s="42"/>
      <c r="I2" s="42"/>
      <c r="J2" s="42"/>
    </row>
    <row r="4" spans="2:10" ht="32.1" customHeight="1" x14ac:dyDescent="0.25">
      <c r="B4" s="35" t="s">
        <v>19</v>
      </c>
      <c r="C4" s="35" t="s">
        <v>278</v>
      </c>
      <c r="D4" s="35" t="s">
        <v>279</v>
      </c>
      <c r="E4" s="35" t="s">
        <v>280</v>
      </c>
      <c r="F4" s="35" t="s">
        <v>281</v>
      </c>
      <c r="G4" s="35" t="s">
        <v>282</v>
      </c>
      <c r="H4" s="35" t="s">
        <v>283</v>
      </c>
    </row>
    <row r="5" spans="2:10" ht="20.100000000000001" customHeight="1" x14ac:dyDescent="0.25">
      <c r="B5" s="3" t="s">
        <v>27</v>
      </c>
      <c r="C5" s="3">
        <v>182000</v>
      </c>
      <c r="D5" s="3">
        <v>245</v>
      </c>
      <c r="E5" s="3">
        <v>218</v>
      </c>
      <c r="F5" s="3">
        <v>310000</v>
      </c>
      <c r="G5" s="3">
        <v>42.1</v>
      </c>
      <c r="H5" s="3">
        <v>87.2</v>
      </c>
    </row>
    <row r="6" spans="2:10" ht="20.100000000000001" customHeight="1" x14ac:dyDescent="0.25">
      <c r="B6" s="6" t="s">
        <v>28</v>
      </c>
      <c r="C6" s="6">
        <v>188000</v>
      </c>
      <c r="D6" s="6">
        <v>258</v>
      </c>
      <c r="E6" s="6">
        <v>231</v>
      </c>
      <c r="F6" s="6">
        <v>324000</v>
      </c>
      <c r="G6" s="6">
        <v>44.4</v>
      </c>
      <c r="H6" s="6">
        <v>87.8</v>
      </c>
    </row>
    <row r="7" spans="2:10" ht="20.100000000000001" customHeight="1" x14ac:dyDescent="0.25">
      <c r="B7" s="3" t="s">
        <v>29</v>
      </c>
      <c r="C7" s="3">
        <v>196000</v>
      </c>
      <c r="D7" s="3">
        <v>271</v>
      </c>
      <c r="E7" s="3">
        <v>244</v>
      </c>
      <c r="F7" s="3">
        <v>341000</v>
      </c>
      <c r="G7" s="3">
        <v>46.8</v>
      </c>
      <c r="H7" s="3">
        <v>88.1</v>
      </c>
    </row>
    <row r="8" spans="2:10" ht="20.100000000000001" customHeight="1" x14ac:dyDescent="0.25">
      <c r="B8" s="6" t="s">
        <v>30</v>
      </c>
      <c r="C8" s="6">
        <v>204000</v>
      </c>
      <c r="D8" s="6">
        <v>285</v>
      </c>
      <c r="E8" s="6">
        <v>256</v>
      </c>
      <c r="F8" s="6">
        <v>358000</v>
      </c>
      <c r="G8" s="6">
        <v>49.2</v>
      </c>
      <c r="H8" s="6">
        <v>88.4</v>
      </c>
    </row>
    <row r="9" spans="2:10" ht="20.100000000000001" customHeight="1" x14ac:dyDescent="0.25">
      <c r="B9" s="3" t="s">
        <v>31</v>
      </c>
      <c r="C9" s="3">
        <v>213000</v>
      </c>
      <c r="D9" s="3">
        <v>299</v>
      </c>
      <c r="E9" s="3">
        <v>268</v>
      </c>
      <c r="F9" s="3">
        <v>376000</v>
      </c>
      <c r="G9" s="3">
        <v>51.7</v>
      </c>
      <c r="H9" s="3">
        <v>88.8</v>
      </c>
    </row>
    <row r="10" spans="2:10" ht="20.100000000000001" customHeight="1" x14ac:dyDescent="0.25">
      <c r="B10" s="6" t="s">
        <v>32</v>
      </c>
      <c r="C10" s="6">
        <v>222000</v>
      </c>
      <c r="D10" s="6">
        <v>314</v>
      </c>
      <c r="E10" s="6">
        <v>281</v>
      </c>
      <c r="F10" s="6">
        <v>394000</v>
      </c>
      <c r="G10" s="6">
        <v>54.2</v>
      </c>
      <c r="H10" s="6">
        <v>89.1</v>
      </c>
    </row>
  </sheetData>
  <mergeCells count="1">
    <mergeCell ref="B1:J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2137"/>
  </sheetPr>
  <dimension ref="B1:K23"/>
  <sheetViews>
    <sheetView showGridLines="0" workbookViewId="0"/>
  </sheetViews>
  <sheetFormatPr defaultRowHeight="15" x14ac:dyDescent="0.25"/>
  <cols>
    <col min="1" max="1" width="2" customWidth="1"/>
    <col min="3" max="3" width="28" customWidth="1"/>
    <col min="7" max="7" width="40" customWidth="1"/>
  </cols>
  <sheetData>
    <row r="1" spans="2:11" ht="21.95" customHeight="1" x14ac:dyDescent="0.25">
      <c r="B1" s="55" t="s">
        <v>284</v>
      </c>
      <c r="C1" s="42"/>
      <c r="D1" s="42"/>
      <c r="E1" s="42"/>
      <c r="F1" s="42"/>
      <c r="G1" s="42"/>
      <c r="H1" s="42"/>
      <c r="I1" s="42"/>
      <c r="J1" s="42"/>
      <c r="K1" s="42"/>
    </row>
    <row r="2" spans="2:11" ht="21.95" customHeight="1" x14ac:dyDescent="0.25">
      <c r="B2" s="42"/>
      <c r="C2" s="42"/>
      <c r="D2" s="42"/>
      <c r="E2" s="42"/>
      <c r="F2" s="42"/>
      <c r="G2" s="42"/>
      <c r="H2" s="42"/>
      <c r="I2" s="42"/>
      <c r="J2" s="42"/>
      <c r="K2" s="42"/>
    </row>
    <row r="4" spans="2:11" ht="32.1" customHeight="1" x14ac:dyDescent="0.25">
      <c r="B4" s="2" t="s">
        <v>285</v>
      </c>
      <c r="C4" s="2" t="s">
        <v>286</v>
      </c>
      <c r="D4" s="2" t="s">
        <v>287</v>
      </c>
      <c r="E4" s="2" t="s">
        <v>288</v>
      </c>
      <c r="F4" s="2" t="s">
        <v>289</v>
      </c>
      <c r="G4" s="2" t="s">
        <v>290</v>
      </c>
    </row>
    <row r="5" spans="2:11" ht="20.100000000000001" customHeight="1" x14ac:dyDescent="0.25">
      <c r="B5" s="5" t="s">
        <v>291</v>
      </c>
      <c r="C5" s="36" t="s">
        <v>292</v>
      </c>
      <c r="D5" s="3" t="s">
        <v>293</v>
      </c>
      <c r="E5" s="3" t="s">
        <v>294</v>
      </c>
      <c r="F5" s="3" t="s">
        <v>295</v>
      </c>
      <c r="G5" s="21" t="s">
        <v>296</v>
      </c>
    </row>
    <row r="6" spans="2:11" ht="20.100000000000001" customHeight="1" x14ac:dyDescent="0.25">
      <c r="B6" s="8" t="s">
        <v>291</v>
      </c>
      <c r="C6" s="37" t="s">
        <v>297</v>
      </c>
      <c r="D6" s="6" t="s">
        <v>298</v>
      </c>
      <c r="E6" s="6" t="s">
        <v>299</v>
      </c>
      <c r="F6" s="6" t="s">
        <v>300</v>
      </c>
      <c r="G6" s="22" t="s">
        <v>301</v>
      </c>
    </row>
    <row r="7" spans="2:11" ht="20.100000000000001" customHeight="1" x14ac:dyDescent="0.25">
      <c r="B7" s="5" t="s">
        <v>291</v>
      </c>
      <c r="C7" s="36" t="s">
        <v>302</v>
      </c>
      <c r="D7" s="3" t="s">
        <v>303</v>
      </c>
      <c r="E7" s="3" t="s">
        <v>304</v>
      </c>
      <c r="F7" s="3" t="s">
        <v>305</v>
      </c>
      <c r="G7" s="21" t="s">
        <v>306</v>
      </c>
    </row>
    <row r="8" spans="2:11" ht="20.100000000000001" customHeight="1" x14ac:dyDescent="0.25">
      <c r="B8" s="8" t="s">
        <v>291</v>
      </c>
      <c r="C8" s="37" t="s">
        <v>307</v>
      </c>
      <c r="D8" s="6" t="s">
        <v>308</v>
      </c>
      <c r="E8" s="6" t="s">
        <v>309</v>
      </c>
      <c r="F8" s="6" t="s">
        <v>310</v>
      </c>
      <c r="G8" s="22" t="s">
        <v>311</v>
      </c>
    </row>
    <row r="9" spans="2:11" ht="20.100000000000001" customHeight="1" x14ac:dyDescent="0.25">
      <c r="B9" s="5" t="s">
        <v>291</v>
      </c>
      <c r="C9" s="36" t="s">
        <v>312</v>
      </c>
      <c r="D9" s="3" t="s">
        <v>313</v>
      </c>
      <c r="E9" s="3" t="s">
        <v>304</v>
      </c>
      <c r="F9" s="3" t="s">
        <v>314</v>
      </c>
      <c r="G9" s="21" t="s">
        <v>315</v>
      </c>
    </row>
    <row r="10" spans="2:11" ht="20.100000000000001" customHeight="1" x14ac:dyDescent="0.25">
      <c r="B10" s="8" t="s">
        <v>291</v>
      </c>
      <c r="C10" s="37" t="s">
        <v>316</v>
      </c>
      <c r="D10" s="6" t="s">
        <v>269</v>
      </c>
      <c r="E10" s="6" t="s">
        <v>304</v>
      </c>
      <c r="F10" s="6" t="s">
        <v>317</v>
      </c>
      <c r="G10" s="22" t="s">
        <v>318</v>
      </c>
    </row>
    <row r="11" spans="2:11" ht="20.100000000000001" customHeight="1" x14ac:dyDescent="0.25">
      <c r="B11" s="5" t="s">
        <v>291</v>
      </c>
      <c r="C11" s="36" t="s">
        <v>319</v>
      </c>
      <c r="D11" s="3" t="s">
        <v>320</v>
      </c>
      <c r="E11" s="3" t="s">
        <v>304</v>
      </c>
      <c r="F11" s="3" t="s">
        <v>321</v>
      </c>
      <c r="G11" s="21" t="s">
        <v>322</v>
      </c>
    </row>
    <row r="12" spans="2:11" ht="20.100000000000001" customHeight="1" x14ac:dyDescent="0.25">
      <c r="B12" s="8" t="s">
        <v>291</v>
      </c>
      <c r="C12" s="37" t="s">
        <v>323</v>
      </c>
      <c r="D12" s="6" t="s">
        <v>98</v>
      </c>
      <c r="E12" s="6" t="s">
        <v>304</v>
      </c>
      <c r="F12" s="6" t="s">
        <v>324</v>
      </c>
      <c r="G12" s="22" t="s">
        <v>325</v>
      </c>
    </row>
    <row r="13" spans="2:11" ht="20.100000000000001" customHeight="1" x14ac:dyDescent="0.25">
      <c r="B13" s="5" t="s">
        <v>291</v>
      </c>
      <c r="C13" s="36" t="s">
        <v>326</v>
      </c>
      <c r="D13" s="3" t="s">
        <v>327</v>
      </c>
      <c r="E13" s="3" t="s">
        <v>304</v>
      </c>
      <c r="F13" s="3" t="s">
        <v>328</v>
      </c>
      <c r="G13" s="21" t="s">
        <v>329</v>
      </c>
    </row>
    <row r="14" spans="2:11" ht="20.100000000000001" customHeight="1" x14ac:dyDescent="0.25">
      <c r="B14" s="11" t="s">
        <v>330</v>
      </c>
      <c r="C14" s="37" t="s">
        <v>331</v>
      </c>
      <c r="D14" s="6" t="s">
        <v>332</v>
      </c>
      <c r="E14" s="6" t="s">
        <v>333</v>
      </c>
      <c r="F14" s="6" t="s">
        <v>334</v>
      </c>
      <c r="G14" s="22" t="s">
        <v>335</v>
      </c>
    </row>
    <row r="15" spans="2:11" ht="20.100000000000001" customHeight="1" x14ac:dyDescent="0.25">
      <c r="B15" s="12" t="s">
        <v>330</v>
      </c>
      <c r="C15" s="36" t="s">
        <v>336</v>
      </c>
      <c r="D15" s="3" t="s">
        <v>337</v>
      </c>
      <c r="E15" s="3" t="s">
        <v>338</v>
      </c>
      <c r="F15" s="3" t="s">
        <v>334</v>
      </c>
      <c r="G15" s="21" t="s">
        <v>339</v>
      </c>
    </row>
    <row r="16" spans="2:11" ht="20.100000000000001" customHeight="1" x14ac:dyDescent="0.25">
      <c r="B16" s="11" t="s">
        <v>330</v>
      </c>
      <c r="C16" s="37" t="s">
        <v>340</v>
      </c>
      <c r="D16" s="6" t="s">
        <v>341</v>
      </c>
      <c r="E16" s="6" t="s">
        <v>338</v>
      </c>
      <c r="F16" s="6" t="s">
        <v>334</v>
      </c>
      <c r="G16" s="22" t="s">
        <v>342</v>
      </c>
    </row>
    <row r="17" spans="2:7" ht="20.100000000000001" customHeight="1" x14ac:dyDescent="0.25">
      <c r="B17" s="9" t="s">
        <v>343</v>
      </c>
      <c r="C17" s="36" t="s">
        <v>344</v>
      </c>
      <c r="D17" s="3" t="s">
        <v>345</v>
      </c>
      <c r="E17" s="3" t="s">
        <v>338</v>
      </c>
      <c r="F17" s="3" t="s">
        <v>334</v>
      </c>
      <c r="G17" s="21" t="s">
        <v>346</v>
      </c>
    </row>
    <row r="18" spans="2:7" ht="20.100000000000001" customHeight="1" x14ac:dyDescent="0.25">
      <c r="B18" s="10" t="s">
        <v>343</v>
      </c>
      <c r="C18" s="37" t="s">
        <v>347</v>
      </c>
      <c r="D18" s="6" t="s">
        <v>341</v>
      </c>
      <c r="E18" s="6" t="s">
        <v>338</v>
      </c>
      <c r="F18" s="6" t="s">
        <v>334</v>
      </c>
      <c r="G18" s="22" t="s">
        <v>348</v>
      </c>
    </row>
    <row r="19" spans="2:7" ht="20.100000000000001" customHeight="1" x14ac:dyDescent="0.25">
      <c r="B19" s="9" t="s">
        <v>343</v>
      </c>
      <c r="C19" s="36" t="s">
        <v>349</v>
      </c>
      <c r="D19" s="3" t="s">
        <v>350</v>
      </c>
      <c r="E19" s="3" t="s">
        <v>338</v>
      </c>
      <c r="F19" s="3" t="s">
        <v>334</v>
      </c>
      <c r="G19" s="21" t="s">
        <v>351</v>
      </c>
    </row>
    <row r="20" spans="2:7" ht="20.100000000000001" customHeight="1" x14ac:dyDescent="0.25">
      <c r="B20" s="10" t="s">
        <v>343</v>
      </c>
      <c r="C20" s="37" t="s">
        <v>352</v>
      </c>
      <c r="D20" s="6" t="s">
        <v>353</v>
      </c>
      <c r="E20" s="6" t="s">
        <v>338</v>
      </c>
      <c r="F20" s="6" t="s">
        <v>334</v>
      </c>
      <c r="G20" s="22" t="s">
        <v>354</v>
      </c>
    </row>
    <row r="21" spans="2:7" ht="20.100000000000001" customHeight="1" x14ac:dyDescent="0.25">
      <c r="B21" s="9" t="s">
        <v>343</v>
      </c>
      <c r="C21" s="36" t="s">
        <v>355</v>
      </c>
      <c r="D21" s="3" t="s">
        <v>356</v>
      </c>
      <c r="E21" s="3" t="s">
        <v>338</v>
      </c>
      <c r="F21" s="3" t="s">
        <v>334</v>
      </c>
      <c r="G21" s="21" t="s">
        <v>357</v>
      </c>
    </row>
    <row r="22" spans="2:7" ht="20.100000000000001" customHeight="1" x14ac:dyDescent="0.25">
      <c r="B22" s="38" t="s">
        <v>358</v>
      </c>
      <c r="C22" s="37" t="s">
        <v>359</v>
      </c>
      <c r="D22" s="6" t="s">
        <v>360</v>
      </c>
      <c r="E22" s="6" t="s">
        <v>361</v>
      </c>
      <c r="F22" s="6" t="s">
        <v>334</v>
      </c>
      <c r="G22" s="22" t="s">
        <v>362</v>
      </c>
    </row>
    <row r="23" spans="2:7" ht="20.100000000000001" customHeight="1" x14ac:dyDescent="0.25">
      <c r="B23" s="39" t="s">
        <v>358</v>
      </c>
      <c r="C23" s="36" t="s">
        <v>363</v>
      </c>
      <c r="D23" s="3" t="s">
        <v>341</v>
      </c>
      <c r="E23" s="3" t="s">
        <v>361</v>
      </c>
      <c r="F23" s="3" t="s">
        <v>334</v>
      </c>
      <c r="G23" s="21" t="s">
        <v>364</v>
      </c>
    </row>
  </sheetData>
  <mergeCells count="1">
    <mergeCell ref="B1:K2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C97A"/>
  </sheetPr>
  <dimension ref="B2:H14"/>
  <sheetViews>
    <sheetView showGridLines="0" tabSelected="1" workbookViewId="0"/>
  </sheetViews>
  <sheetFormatPr defaultRowHeight="15" x14ac:dyDescent="0.25"/>
  <cols>
    <col min="2" max="2" width="18" customWidth="1"/>
    <col min="3" max="3" width="55" customWidth="1"/>
  </cols>
  <sheetData>
    <row r="2" spans="2:8" x14ac:dyDescent="0.25">
      <c r="B2" s="73" t="s">
        <v>365</v>
      </c>
      <c r="C2" s="42"/>
      <c r="D2" s="42"/>
      <c r="E2" s="42"/>
      <c r="F2" s="42"/>
      <c r="G2" s="42"/>
      <c r="H2" s="42"/>
    </row>
    <row r="3" spans="2:8" x14ac:dyDescent="0.25">
      <c r="B3" s="42"/>
      <c r="C3" s="42"/>
      <c r="D3" s="42"/>
      <c r="E3" s="42"/>
      <c r="F3" s="42"/>
      <c r="G3" s="42"/>
      <c r="H3" s="42"/>
    </row>
    <row r="5" spans="2:8" ht="21.95" customHeight="1" x14ac:dyDescent="0.25">
      <c r="B5" s="40" t="s">
        <v>366</v>
      </c>
      <c r="C5" s="70" t="s">
        <v>367</v>
      </c>
      <c r="D5" s="71"/>
      <c r="E5" s="71"/>
      <c r="F5" s="71"/>
      <c r="G5" s="71"/>
      <c r="H5" s="72"/>
    </row>
    <row r="6" spans="2:8" ht="21.95" customHeight="1" x14ac:dyDescent="0.25">
      <c r="B6" s="40" t="s">
        <v>368</v>
      </c>
      <c r="C6" s="70" t="s">
        <v>369</v>
      </c>
      <c r="D6" s="71"/>
      <c r="E6" s="71"/>
      <c r="F6" s="71"/>
      <c r="G6" s="71"/>
      <c r="H6" s="72"/>
    </row>
    <row r="7" spans="2:8" ht="21.95" customHeight="1" x14ac:dyDescent="0.25">
      <c r="B7" s="40" t="s">
        <v>370</v>
      </c>
      <c r="C7" s="70" t="s">
        <v>371</v>
      </c>
      <c r="D7" s="71"/>
      <c r="E7" s="71"/>
      <c r="F7" s="71"/>
      <c r="G7" s="71"/>
      <c r="H7" s="72"/>
    </row>
    <row r="8" spans="2:8" ht="21.95" customHeight="1" x14ac:dyDescent="0.25">
      <c r="B8" s="40" t="s">
        <v>372</v>
      </c>
      <c r="C8" s="70" t="s">
        <v>373</v>
      </c>
      <c r="D8" s="71"/>
      <c r="E8" s="71"/>
      <c r="F8" s="71"/>
      <c r="G8" s="71"/>
      <c r="H8" s="72"/>
    </row>
    <row r="9" spans="2:8" ht="21.95" customHeight="1" x14ac:dyDescent="0.25">
      <c r="B9" s="40" t="s">
        <v>374</v>
      </c>
      <c r="C9" s="70" t="s">
        <v>375</v>
      </c>
      <c r="D9" s="71"/>
      <c r="E9" s="71"/>
      <c r="F9" s="71"/>
      <c r="G9" s="71"/>
      <c r="H9" s="72"/>
    </row>
    <row r="10" spans="2:8" ht="21.95" customHeight="1" x14ac:dyDescent="0.25">
      <c r="B10" s="40" t="s">
        <v>376</v>
      </c>
      <c r="C10" s="70" t="s">
        <v>377</v>
      </c>
      <c r="D10" s="71"/>
      <c r="E10" s="71"/>
      <c r="F10" s="71"/>
      <c r="G10" s="71"/>
      <c r="H10" s="72"/>
    </row>
    <row r="11" spans="2:8" ht="21.95" customHeight="1" x14ac:dyDescent="0.25">
      <c r="B11" s="40" t="s">
        <v>378</v>
      </c>
      <c r="C11" s="70" t="s">
        <v>379</v>
      </c>
      <c r="D11" s="71"/>
      <c r="E11" s="71"/>
      <c r="F11" s="71"/>
      <c r="G11" s="71"/>
      <c r="H11" s="72"/>
    </row>
    <row r="12" spans="2:8" ht="21.95" customHeight="1" x14ac:dyDescent="0.25">
      <c r="B12" s="40" t="s">
        <v>380</v>
      </c>
      <c r="C12" s="70" t="s">
        <v>381</v>
      </c>
      <c r="D12" s="71"/>
      <c r="E12" s="71"/>
      <c r="F12" s="71"/>
      <c r="G12" s="71"/>
      <c r="H12" s="72"/>
    </row>
    <row r="13" spans="2:8" ht="21.95" customHeight="1" x14ac:dyDescent="0.25">
      <c r="B13" s="40" t="s">
        <v>382</v>
      </c>
      <c r="C13" s="70" t="s">
        <v>383</v>
      </c>
      <c r="D13" s="71"/>
      <c r="E13" s="71"/>
      <c r="F13" s="71"/>
      <c r="G13" s="71"/>
      <c r="H13" s="72"/>
    </row>
    <row r="14" spans="2:8" ht="21.95" customHeight="1" x14ac:dyDescent="0.25">
      <c r="B14" s="40" t="s">
        <v>384</v>
      </c>
      <c r="C14" s="70" t="s">
        <v>385</v>
      </c>
      <c r="D14" s="71"/>
      <c r="E14" s="71"/>
      <c r="F14" s="71"/>
      <c r="G14" s="71"/>
      <c r="H14" s="72"/>
    </row>
  </sheetData>
  <mergeCells count="11">
    <mergeCell ref="B2:H3"/>
    <mergeCell ref="C12:H12"/>
    <mergeCell ref="C7:H7"/>
    <mergeCell ref="C11:H11"/>
    <mergeCell ref="C6:H6"/>
    <mergeCell ref="C10:H10"/>
    <mergeCell ref="C14:H14"/>
    <mergeCell ref="C5:H5"/>
    <mergeCell ref="C13:H13"/>
    <mergeCell ref="C9:H9"/>
    <mergeCell ref="C8:H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Executive Dashboard</vt:lpstr>
      <vt:lpstr>Corridor Analysis</vt:lpstr>
      <vt:lpstr>ML Model Results</vt:lpstr>
      <vt:lpstr>Customer 360</vt:lpstr>
      <vt:lpstr>FX &amp; Profitability</vt:lpstr>
      <vt:lpstr>Risk &amp; Compliance</vt:lpstr>
      <vt:lpstr>AfriMoney Lending</vt:lpstr>
      <vt:lpstr>Wallet &amp; Card</vt:lpstr>
      <vt:lpstr>Data Model</vt:lpstr>
      <vt:lpstr>About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Anthony</cp:lastModifiedBy>
  <dcterms:created xsi:type="dcterms:W3CDTF">2026-06-29T19:00:13Z</dcterms:created>
  <dcterms:modified xsi:type="dcterms:W3CDTF">2026-06-29T19:01:02Z</dcterms:modified>
</cp:coreProperties>
</file>